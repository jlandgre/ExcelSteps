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1.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Mac\Home\Library\CloudStorage\Box-Box\Projects\Excel_Steps\tests\"/>
    </mc:Choice>
  </mc:AlternateContent>
  <xr:revisionPtr revIDLastSave="0" documentId="13_ncr:1_{B27F7430-527D-49A1-9011-9F38D79DF49D}" xr6:coauthVersionLast="47" xr6:coauthVersionMax="47" xr10:uidLastSave="{00000000-0000-0000-0000-000000000000}"/>
  <bookViews>
    <workbookView xWindow="-83" yWindow="1560" windowWidth="26085" windowHeight="11535" firstSheet="2" activeTab="2" xr2:uid="{9BFFF91E-2186-4B33-B056-075060447E77}"/>
  </bookViews>
  <sheets>
    <sheet name="Descriptions" sheetId="86" r:id="rId1"/>
    <sheet name="XLStepsSettings" sheetId="3" state="hidden" r:id="rId2"/>
    <sheet name="SMdl" sheetId="4136" r:id="rId3"/>
    <sheet name="PivotOut" sheetId="4126" r:id="rId4"/>
    <sheet name="Tests_mdl" sheetId="49" state="hidden" r:id="rId5"/>
    <sheet name="ExcelSteps" sheetId="3808" r:id="rId6"/>
    <sheet name="TblImport" sheetId="3024" r:id="rId7"/>
    <sheet name="Tests_Dictionary" sheetId="4088" r:id="rId8"/>
    <sheet name="Tests_PivotTable" sheetId="4093" r:id="rId9"/>
    <sheet name="tests_mdlScenario" sheetId="4035" r:id="rId10"/>
    <sheet name="tblRowsCols" sheetId="4061" r:id="rId11"/>
    <sheet name="tests_mdlImportRow" sheetId="4037" r:id="rId12"/>
    <sheet name="tests_ParseModel" sheetId="4038" r:id="rId13"/>
    <sheet name="tests_Utilities" sheetId="4040" r:id="rId14"/>
    <sheet name="Tests_SwapModels" sheetId="184" r:id="rId15"/>
    <sheet name="Tests_tblDefault" sheetId="2748" state="veryHidden" r:id="rId16"/>
    <sheet name="Utilities" sheetId="2770" state="hidden" r:id="rId17"/>
    <sheet name="ToolBox" sheetId="4130" r:id="rId18"/>
    <sheet name="Settings_" sheetId="136" r:id="rId19"/>
    <sheet name="Tests" sheetId="3536" state="hidden" r:id="rId20"/>
    <sheet name="Tests_ErrorHandling" sheetId="4091" r:id="rId21"/>
    <sheet name="Errors_" sheetId="4092" r:id="rId22"/>
  </sheets>
  <functionGroups builtInGroupCount="19"/>
  <definedNames>
    <definedName name="AfterEndorRenameColumn">ExcelSteps!$E:$E</definedName>
    <definedName name="Column">ExcelSteps!$B:$B</definedName>
    <definedName name="Comment">ExcelSteps!$G:$G</definedName>
    <definedName name="Custom">SMdl!$C:$H</definedName>
    <definedName name="Custom_Data_1">SMdl!$F:$F</definedName>
    <definedName name="Custom_Data_2">SMdl!$G:$G</definedName>
    <definedName name="Custom_Data_3">SMdl!$H:$H</definedName>
    <definedName name="Custom_Data_4">SMdl!$I:$I</definedName>
    <definedName name="Custom_DataValues">SMdl!$C$5:$H$9</definedName>
    <definedName name="Custom_Desc">SMdl!$C:$C</definedName>
    <definedName name="Custom_Desc2">SMdl!$D:$D</definedName>
    <definedName name="Custom_Desc3">SMdl!$E:$E</definedName>
    <definedName name="Custom_Header">SMdl!$4:$4</definedName>
    <definedName name="Formula_ListName_Sort_by">ExcelSteps!$D:$D</definedName>
    <definedName name="KeepFormulas">ExcelSteps!$F:$F</definedName>
    <definedName name="NumberFormat">ExcelSteps!$H:$H</definedName>
    <definedName name="Sheet">ExcelSteps!$A:$A</definedName>
    <definedName name="Step">ExcelSteps!$C:$C</definedName>
    <definedName name="Width">ExcelSteps!$I:$I</definedName>
  </definedNames>
  <calcPr calcId="191029"/>
  <pivotCaches>
    <pivotCache cacheId="0" r:id="rId2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5" i="4136" l="1"/>
  <c r="I6" i="4136"/>
  <c r="I7" i="4136"/>
  <c r="I8" i="4136"/>
  <c r="I9" i="41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j.d.landgrebe</author>
  </authors>
  <commentList>
    <comment ref="I4" authorId="0" shapeId="0" xr:uid="{E2834328-1476-4B4B-9EC8-22ABFB1D588B}">
      <text>
        <r>
          <rPr>
            <sz val="9"/>
            <color indexed="81"/>
            <rFont val="Tahoma"/>
            <family val="2"/>
          </rPr>
          <t>Calculated column</t>
        </r>
      </text>
    </comment>
  </commentList>
</comments>
</file>

<file path=xl/sharedStrings.xml><?xml version="1.0" encoding="utf-8"?>
<sst xmlns="http://schemas.openxmlformats.org/spreadsheetml/2006/main" count="803" uniqueCount="411">
  <si>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</si>
  <si>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</si>
  <si>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</si>
  <si>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</si>
  <si>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</si>
  <si>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</si>
  <si>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</si>
  <si>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</si>
  <si>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</si>
  <si>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</si>
  <si>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</si>
  <si>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</si>
  <si>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</si>
  <si>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</si>
  <si>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</si>
  <si>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</si>
  <si>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</si>
  <si>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</si>
  <si>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</si>
  <si>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</si>
  <si>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</si>
  <si>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</si>
  <si>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</si>
  <si>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</si>
  <si>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</si>
  <si>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</si>
  <si>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</si>
  <si>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</si>
  <si>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</si>
  <si>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</si>
  <si>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</si>
  <si>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</si>
  <si>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</si>
  <si>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</si>
  <si>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</si>
  <si>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</si>
  <si>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</si>
  <si>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</si>
  <si>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</si>
  <si>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</si>
  <si>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</si>
  <si>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</si>
  <si>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</si>
  <si>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</si>
  <si>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</si>
  <si>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</si>
  <si>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</si>
  <si>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</si>
  <si>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</si>
  <si>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</si>
  <si>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</si>
  <si>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</si>
  <si>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</si>
  <si>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</si>
  <si>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</si>
  <si>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</si>
  <si>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</si>
  <si>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</si>
  <si>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</si>
  <si>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</si>
  <si>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</si>
  <si>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</si>
  <si>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</si>
  <si>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</si>
  <si>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</si>
  <si>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</si>
  <si>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</si>
  <si>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</si>
  <si>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</si>
  <si>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</si>
  <si>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</si>
  <si>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</si>
  <si>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</si>
  <si>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</si>
  <si>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</si>
  <si>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</si>
  <si>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</si>
  <si>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</si>
  <si>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</si>
  <si>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</si>
  <si>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</si>
  <si>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</si>
  <si>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</si>
  <si>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</si>
  <si>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</si>
  <si>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</si>
  <si>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</si>
  <si>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</si>
  <si>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</si>
  <si>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</si>
  <si>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</si>
  <si>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</si>
  <si>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</si>
  <si>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</si>
  <si>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</si>
  <si>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</si>
  <si>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</si>
  <si>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</si>
  <si>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</si>
  <si>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</si>
  <si>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</si>
  <si>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</si>
  <si>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</si>
  <si>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</si>
  <si>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</si>
  <si>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</si>
  <si>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</si>
  <si>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</si>
  <si>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</si>
  <si>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</si>
  <si>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</si>
  <si>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</si>
  <si>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</si>
  <si>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</si>
  <si>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</si>
  <si>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</si>
  <si>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</si>
  <si>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</si>
  <si>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</si>
  <si>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</si>
  <si>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</si>
  <si>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</si>
  <si>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</si>
  <si>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</si>
  <si>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</si>
  <si>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</si>
  <si>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</si>
  <si>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</si>
  <si>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</si>
  <si>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Model</t>
  </si>
  <si>
    <t>Grp</t>
  </si>
  <si>
    <t>Subgrp</t>
  </si>
  <si>
    <t>Description</t>
  </si>
  <si>
    <t>Variable Name</t>
  </si>
  <si>
    <t>Units</t>
  </si>
  <si>
    <t>Number Fmt</t>
  </si>
  <si>
    <t>Formula/Row Type</t>
  </si>
  <si>
    <t>Scenario Name</t>
  </si>
  <si>
    <t>Value</t>
  </si>
  <si>
    <t>test_PopulateMdlImport</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</si>
  <si>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</si>
  <si>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</si>
  <si>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</si>
  <si>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</si>
  <si>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</si>
  <si>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</si>
  <si>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</si>
  <si>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</si>
  <si>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</si>
  <si>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</si>
  <si>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</si>
  <si>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</si>
  <si>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</si>
  <si>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</si>
  <si>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</si>
  <si>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</si>
  <si>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test_ProvisionSMdl2</t>
  </si>
  <si>
    <t>test_RefreshSMdl2a</t>
  </si>
  <si>
    <t>test_RefreshSMdl6_HiddenVars</t>
  </si>
  <si>
    <t>test_ProvisionSMdl7</t>
  </si>
  <si>
    <t>test_AddDropdownSMdl4a</t>
  </si>
  <si>
    <t>test_AddDropdownSMdl5</t>
  </si>
  <si>
    <t>test_ConvertValToNumeric</t>
  </si>
  <si>
    <t>test_ResetPostTransfer</t>
  </si>
  <si>
    <t>test_ReadModelName</t>
  </si>
  <si>
    <t>test_TblImportDeleteModel</t>
  </si>
  <si>
    <t>test_ReadMdlDestRow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</si>
  <si>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</si>
  <si>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</si>
  <si>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</si>
  <si>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</si>
  <si>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</si>
  <si>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</si>
  <si>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</si>
  <si>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</si>
  <si>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</si>
  <si>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</si>
  <si>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</si>
  <si>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</si>
  <si>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</si>
  <si>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</si>
  <si>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Test Result</t>
  </si>
  <si>
    <t>Procedure</t>
  </si>
  <si>
    <t>Sheet</t>
  </si>
  <si>
    <t>Column</t>
  </si>
  <si>
    <t>Step</t>
  </si>
  <si>
    <t>Formula/List Name/Sort-by</t>
  </si>
  <si>
    <t>After End or Rename Column</t>
  </si>
  <si>
    <t>Keep Formulas</t>
  </si>
  <si>
    <t>Comment</t>
  </si>
  <si>
    <t>Number Format</t>
  </si>
  <si>
    <t>Width</t>
  </si>
  <si>
    <t>Rows/Cols Table</t>
  </si>
  <si>
    <t>Recipe Refresh</t>
  </si>
  <si>
    <t>Refresh table from recipe</t>
  </si>
  <si>
    <t>Scenario Models</t>
  </si>
  <si>
    <t>Demo of Scenario Model Options</t>
  </si>
  <si>
    <t/>
  </si>
  <si>
    <t>mdlScenario.Init</t>
  </si>
  <si>
    <t>mdlRow class</t>
  </si>
  <si>
    <t>mdl Variations</t>
  </si>
  <si>
    <t>Dropdown list capability</t>
  </si>
  <si>
    <t>C</t>
  </si>
  <si>
    <t>Setup</t>
  </si>
  <si>
    <t>Configuration Name (used by program)</t>
  </si>
  <si>
    <t>mdl_name</t>
  </si>
  <si>
    <t>&lt;blank&gt;</t>
  </si>
  <si>
    <t>SMdlType2</t>
  </si>
  <si>
    <t>Other Plant Configuration</t>
  </si>
  <si>
    <t>No. Sections</t>
  </si>
  <si>
    <t>n_sections</t>
  </si>
  <si>
    <t>Start Temperature (Celsius)</t>
  </si>
  <si>
    <t>T_start</t>
  </si>
  <si>
    <t>Start Temperature (Fahrenheit)</t>
  </si>
  <si>
    <t>T_start_f</t>
  </si>
  <si>
    <t>F</t>
  </si>
  <si>
    <t>test_LastPopulatedCell5</t>
  </si>
  <si>
    <t>0.0</t>
  </si>
  <si>
    <t>=(T_start * 9/5) + 32</t>
  </si>
  <si>
    <t>test_ParseMdlScenDefn1</t>
  </si>
  <si>
    <t>test_ParseMdlScenDefn2</t>
  </si>
  <si>
    <t>test_mdl_Init1</t>
  </si>
  <si>
    <t>test_mdl_Init2</t>
  </si>
  <si>
    <t>test_mdl_Init3</t>
  </si>
  <si>
    <t>test_mdl_Init4</t>
  </si>
  <si>
    <t>test_mdl_Init5</t>
  </si>
  <si>
    <t>test_mdl_Init6</t>
  </si>
  <si>
    <t>Swap not working 2/15/25</t>
  </si>
  <si>
    <t>0</t>
  </si>
  <si>
    <t>Input</t>
  </si>
  <si>
    <t>SMdlType1</t>
  </si>
  <si>
    <t>Batch Plant Configuration</t>
  </si>
  <si>
    <t>Batch Size</t>
  </si>
  <si>
    <t>batch_size</t>
  </si>
  <si>
    <t>kg</t>
  </si>
  <si>
    <t>Use Premix</t>
  </si>
  <si>
    <t>use_premix</t>
  </si>
  <si>
    <t>True</t>
  </si>
  <si>
    <t>ExcelSteps Utilities</t>
  </si>
  <si>
    <t>test_Search1</t>
  </si>
  <si>
    <t>Lite Model Prov/Refresh Speedup</t>
  </si>
  <si>
    <t>test_Search2</t>
  </si>
  <si>
    <t>test_Search3</t>
  </si>
  <si>
    <t>test_Search4</t>
  </si>
  <si>
    <t>test_Search5</t>
  </si>
  <si>
    <t>test_Search6</t>
  </si>
  <si>
    <t>test_Search7</t>
  </si>
  <si>
    <t>test_ParseDefaultModel</t>
  </si>
  <si>
    <t>ParseModel</t>
  </si>
  <si>
    <t>test_ParseDefaultCalcModel</t>
  </si>
  <si>
    <t>test_ParseSuppHeaderCalcModel</t>
  </si>
  <si>
    <t>test_ParseSuppHeaderModel</t>
  </si>
  <si>
    <t>test_ParseWithDeleteFlag</t>
  </si>
  <si>
    <t>mdlImportRow Class</t>
  </si>
  <si>
    <t>test_ReadStepsRow</t>
  </si>
  <si>
    <t>test_SetBooleanFlags</t>
  </si>
  <si>
    <t>test_ToTblWriteRow</t>
  </si>
  <si>
    <t>0.00</t>
  </si>
  <si>
    <t>0.000</t>
  </si>
  <si>
    <t>test_SetIsCustomTbl</t>
  </si>
  <si>
    <t>tblRowsCols.Init</t>
  </si>
  <si>
    <t>test_ReadDefnSetting</t>
  </si>
  <si>
    <t>test_PopulateCustomTblParams1</t>
  </si>
  <si>
    <t>test_PopulateCustomTblParams2</t>
  </si>
  <si>
    <t>test_PopulateCustomTblParams3</t>
  </si>
  <si>
    <t>test_SetHomedTblParams</t>
  </si>
  <si>
    <t>test_OverrideWithArgs</t>
  </si>
  <si>
    <t>test_tblInitProcedure1</t>
  </si>
  <si>
    <t>test_tblInitProcedure_sht_CaseError</t>
  </si>
  <si>
    <t>test_InitializeWkshtAndRanges1</t>
  </si>
  <si>
    <t>tblRowsCols.SetDimensions</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</si>
  <si>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</si>
  <si>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</si>
  <si>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</si>
  <si>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</si>
  <si>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</si>
  <si>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</si>
  <si>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</si>
  <si>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</si>
  <si>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</si>
  <si>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</si>
  <si>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</si>
  <si>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</si>
  <si>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</si>
  <si>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</si>
  <si>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</si>
  <si>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</si>
  <si>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</si>
  <si>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</si>
  <si>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</si>
  <si>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</si>
  <si>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</si>
  <si>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tblRowsCols.SetArysNamesRngs</t>
  </si>
  <si>
    <t>test_SetTblNames</t>
  </si>
  <si>
    <t>test_NameColumn</t>
  </si>
  <si>
    <t>test_SetAllColNames</t>
  </si>
  <si>
    <t>test_PopulateTbl</t>
  </si>
  <si>
    <t>tblRowsCols.Provision</t>
  </si>
  <si>
    <t>test_ProvisionTbl</t>
  </si>
  <si>
    <t>test_PopulateTbl2</t>
  </si>
  <si>
    <t>test_ProvisionTbl2</t>
  </si>
  <si>
    <t>test_ProvisionTbl2HeaderOnly</t>
  </si>
  <si>
    <t>test_ProvisionTbl2EmptyTbl</t>
  </si>
  <si>
    <t>test_ProvisionTbl2EmptySpec</t>
  </si>
  <si>
    <t>test_PrepExcelStepsSht</t>
  </si>
  <si>
    <t>tblRowsCols.Refresh</t>
  </si>
  <si>
    <t>test_RefreshTbl2</t>
  </si>
  <si>
    <t>test_RefreshTbl3</t>
  </si>
  <si>
    <t>test_RefreshTblAPI1</t>
  </si>
  <si>
    <t>tbl_RefreshAPI</t>
  </si>
  <si>
    <t>test_RefreshTblAPI2</t>
  </si>
  <si>
    <t>test_RefreshTblAPI3</t>
  </si>
  <si>
    <t>test_RefreshTblAPI4</t>
  </si>
  <si>
    <t>test_Add</t>
  </si>
  <si>
    <t>Dictionary Class</t>
  </si>
  <si>
    <t>test_Item</t>
  </si>
  <si>
    <t>test_Exists</t>
  </si>
  <si>
    <t>test_Remove</t>
  </si>
  <si>
    <t>test_Size</t>
  </si>
  <si>
    <t>test_GetKeys</t>
  </si>
  <si>
    <t>test_Clear</t>
  </si>
  <si>
    <t>test_UpdateValue</t>
  </si>
  <si>
    <t>test_ObjectValues</t>
  </si>
  <si>
    <t>test_ExpandCapacity</t>
  </si>
  <si>
    <t>test_NestedHelperAccess</t>
  </si>
  <si>
    <t>test_ValidateAndStripBraces</t>
  </si>
  <si>
    <t>test_SplitIntoPairs</t>
  </si>
  <si>
    <t>test_ParsePair</t>
  </si>
  <si>
    <t>test_DetectValueType</t>
  </si>
  <si>
    <t>test_AddParsedValue</t>
  </si>
  <si>
    <t>test_ParseStringToDictProcedure</t>
  </si>
  <si>
    <t>test_SetErrs_Defaults</t>
  </si>
  <si>
    <t>Error params and SetErrs</t>
  </si>
  <si>
    <t>iCodeReport</t>
  </si>
  <si>
    <t>Module</t>
  </si>
  <si>
    <t>Routine</t>
  </si>
  <si>
    <t>Message</t>
  </si>
  <si>
    <t>IsUserFacing</t>
  </si>
  <si>
    <t>VBAProject</t>
  </si>
  <si>
    <t>TestProc</t>
  </si>
  <si>
    <t>Base</t>
  </si>
  <si>
    <t>ExcelSteps</t>
  </si>
  <si>
    <t xml:space="preserve">User visible: </t>
  </si>
  <si>
    <t xml:space="preserve">Developer detail: </t>
  </si>
  <si>
    <t>BadProc</t>
  </si>
  <si>
    <t>maybe</t>
  </si>
  <si>
    <t>test_ErrorsMeta_ResolveAndLoad</t>
  </si>
  <si>
    <t>ErrorHandling Class</t>
  </si>
  <si>
    <t>test_RecordErr_UserFacingCurrent</t>
  </si>
  <si>
    <t>test_RecordErr_DeveloperNestedTrace</t>
  </si>
  <si>
    <t>test_RecordErr_BaseNotFound</t>
  </si>
  <si>
    <t>X</t>
  </si>
  <si>
    <t>Y</t>
  </si>
  <si>
    <t>test_InitPivotTable</t>
  </si>
  <si>
    <t>PivotTable Class</t>
  </si>
  <si>
    <t>test_CreatePivotCacheAndTable</t>
  </si>
  <si>
    <t>test_ConfigurePivotFields</t>
  </si>
  <si>
    <t>test_ApplySortOrder</t>
  </si>
  <si>
    <t>test_FormatPivotTable</t>
  </si>
  <si>
    <t>test_ConvertPivotToValues</t>
  </si>
  <si>
    <t>test_SetOutputRanges</t>
  </si>
  <si>
    <t>test_MakePivotTableProcedure1</t>
  </si>
  <si>
    <t>test_MakePivotTableProcedure2</t>
  </si>
  <si>
    <t>test_MakePivotTableProcedure3</t>
  </si>
  <si>
    <t>test_FindInRange1</t>
  </si>
  <si>
    <t>test_FindInRange2</t>
  </si>
  <si>
    <t>test_FindInRange3</t>
  </si>
  <si>
    <t>test_FindInRange4</t>
  </si>
  <si>
    <t>test_ValidateFieldSpecs</t>
  </si>
  <si>
    <t>test_ValidateAnalytes</t>
  </si>
  <si>
    <t>Grand Total</t>
  </si>
  <si>
    <t>Category</t>
  </si>
  <si>
    <t>SubCategory</t>
  </si>
  <si>
    <t>A</t>
  </si>
  <si>
    <t>B</t>
  </si>
  <si>
    <t>Sum of Amount</t>
  </si>
  <si>
    <t>Pivot Tables</t>
  </si>
  <si>
    <t>Metrics/analytes from multiple raw columns</t>
  </si>
  <si>
    <t>Two row fields; no col fields; column totals</t>
  </si>
  <si>
    <t>One row field; one column field</t>
  </si>
  <si>
    <t>ProjFiles</t>
  </si>
  <si>
    <t>test_ColInfo_Init</t>
  </si>
  <si>
    <t>ColInfo</t>
  </si>
  <si>
    <t>test_ColInfo_SetCurTbl</t>
  </si>
  <si>
    <t>test_ColInfo_YieldAryIndices</t>
  </si>
  <si>
    <t>test_ColInfo_YieldAryMetrics</t>
  </si>
  <si>
    <t>test_ColInfo_YieldDNormalize</t>
  </si>
  <si>
    <t>Col_Insert</t>
  </si>
  <si>
    <t>Desc</t>
  </si>
  <si>
    <t>Desc2</t>
  </si>
  <si>
    <t>Desc3</t>
  </si>
  <si>
    <t>Data_1</t>
  </si>
  <si>
    <t>Data_2</t>
  </si>
  <si>
    <t>Data_3</t>
  </si>
  <si>
    <t>D</t>
  </si>
  <si>
    <t>DD</t>
  </si>
  <si>
    <t>EE</t>
  </si>
  <si>
    <t>CC</t>
  </si>
  <si>
    <t>BB</t>
  </si>
  <si>
    <t>AA</t>
  </si>
  <si>
    <t>BBB</t>
  </si>
  <si>
    <t>HHH</t>
  </si>
  <si>
    <t>EEE</t>
  </si>
  <si>
    <t>FFF</t>
  </si>
  <si>
    <t>GGG</t>
  </si>
  <si>
    <t>Col_Format</t>
  </si>
  <si>
    <t>Data_4</t>
  </si>
  <si>
    <t>Calculated column</t>
  </si>
  <si>
    <t>=@Custom_Data_2 + @Custom_Data_3</t>
  </si>
  <si>
    <t>test_ColInfo_YieldAryIndices_Empty</t>
  </si>
  <si>
    <t>test_ColInfo_SetCurTblReentrant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</si>
</sst>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3" x14ac:knownFonts="1">
    <font>
      <sz val="11"/>
      <color theme="1"/>
      <name val="Calibri"/>
      <family val="2"/>
      <scheme val="minor"/>
    </font>
    <font>
      <sz val="11"/>
      <color theme="0"/>
      <name val="Calibri"/>
      <family val="2"/>
      <scheme val="minor"/>
    </font>
    <font>
      <sz val="9"/>
      <color theme="1"/>
      <name val="Calibri"/>
      <family val="2"/>
      <scheme val="minor"/>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sz val="9"/>
      <color theme="0"/>
      <name val="Calibri"/>
      <family val="2"/>
      <scheme val="minor"/>
    </font>
    <font>
      <sz val="8"/>
      <color rgb="FFFF0000"/>
      <name val="Calibri"/>
      <family val="2"/>
      <scheme val="minor"/>
    </font>
    <font>
      <sz val="11"/>
      <color rgb="FF000000"/>
      <name val="Calibri"/>
      <family val="2"/>
    </font>
    <font>
      <b/>
      <sz val="11"/>
      <color rgb="FFFA7D00"/>
      <name val="Calibri"/>
      <family val="2"/>
      <scheme val="minor"/>
    </font>
    <font>
      <b/>
      <sz val="11"/>
      <name val="Calibri"/>
      <family val="2"/>
      <scheme val="minor"/>
    </font>
    <font>
      <sz val="9"/>
      <color indexed="81"/>
      <name val="Tahoma"/>
      <family val="2"/>
    </font>
  </fonts>
  <fills count="9">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
      <patternFill patternType="solid">
        <fgColor rgb="FFF2F2F2"/>
      </patternFill>
    </fill>
  </fills>
  <borders count="8">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
      <left style="thin">
        <color rgb="FF7F7F7F"/>
      </left>
      <right style="thin">
        <color rgb="FF7F7F7F"/>
      </right>
      <top style="thin">
        <color rgb="FF7F7F7F"/>
      </top>
      <bottom style="thin">
        <color rgb="FF7F7F7F"/>
      </bottom>
      <diagonal/>
    </border>
  </borders>
  <cellStyleXfs count="7">
    <xf numFmtId="0" fontId="0" fillId="0" borderId="0"/>
    <xf numFmtId="0" fontId="1" fillId="2" borderId="0" applyNumberFormat="0" applyBorder="0" applyAlignment="0" applyProtection="0"/>
    <xf numFmtId="0" fontId="1" fillId="4" borderId="0" applyNumberFormat="0" applyBorder="0" applyAlignment="0" applyProtection="0"/>
    <xf numFmtId="0" fontId="5" fillId="0" borderId="0" applyNumberFormat="0" applyFill="0" applyBorder="0" applyAlignment="0" applyProtection="0"/>
    <xf numFmtId="0" fontId="1" fillId="6" borderId="0" applyNumberFormat="0" applyBorder="0" applyAlignment="0" applyProtection="0"/>
    <xf numFmtId="0" fontId="6" fillId="7" borderId="0" applyNumberFormat="0" applyBorder="0" applyAlignment="0" applyProtection="0"/>
    <xf numFmtId="0" fontId="10" fillId="8" borderId="7" applyNumberFormat="0" applyAlignment="0" applyProtection="0"/>
  </cellStyleXfs>
  <cellXfs count="39">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3" fillId="3" borderId="0" xfId="0" applyFont="1" applyFill="1"/>
    <xf numFmtId="0" fontId="0" fillId="0" borderId="0" xfId="0" applyAlignment="1">
      <alignment horizontal="left"/>
    </xf>
    <xf numFmtId="0" fontId="4" fillId="0" borderId="0" xfId="0" applyFont="1" applyAlignment="1">
      <alignment horizontal="left"/>
    </xf>
    <xf numFmtId="0" fontId="5" fillId="0" borderId="0" xfId="3"/>
    <xf numFmtId="0" fontId="1" fillId="2" borderId="0" xfId="1" applyAlignment="1">
      <alignment wrapText="1"/>
    </xf>
    <xf numFmtId="0" fontId="0" fillId="5" borderId="0" xfId="0" applyFill="1"/>
    <xf numFmtId="0" fontId="1" fillId="4" borderId="0" xfId="2"/>
    <xf numFmtId="0" fontId="1" fillId="6" borderId="0" xfId="4"/>
    <xf numFmtId="0" fontId="6" fillId="7" borderId="0" xfId="5"/>
    <xf numFmtId="0" fontId="7" fillId="4" borderId="0" xfId="2" applyFont="1" applyBorder="1" applyAlignment="1">
      <alignment wrapText="1"/>
    </xf>
    <xf numFmtId="49" fontId="7" fillId="4" borderId="0" xfId="2" applyNumberFormat="1" applyFont="1" applyBorder="1" applyAlignment="1">
      <alignment wrapText="1"/>
    </xf>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49" fontId="0" fillId="0" borderId="0" xfId="0" applyNumberFormat="1"/>
    <xf numFmtId="49" fontId="1" fillId="2" borderId="0" xfId="1" applyNumberFormat="1" applyAlignment="1">
      <alignment wrapText="1"/>
    </xf>
    <xf numFmtId="0" fontId="8" fillId="0" borderId="0" xfId="0" applyFont="1"/>
    <xf numFmtId="0" fontId="2" fillId="0" borderId="0" xfId="0" applyFont="1" applyAlignment="1">
      <alignment wrapText="1"/>
    </xf>
    <xf numFmtId="0" fontId="0" fillId="0" borderId="0" xfId="0" pivotButton="1"/>
    <xf numFmtId="0" fontId="2" fillId="0" borderId="0" xfId="0" applyFont="1"/>
    <xf numFmtId="49" fontId="2" fillId="0" borderId="0" xfId="0" applyNumberFormat="1" applyFont="1" applyAlignment="1">
      <alignment wrapText="1"/>
    </xf>
    <xf numFmtId="49" fontId="2" fillId="0" borderId="0" xfId="0" applyNumberFormat="1" applyFont="1"/>
    <xf numFmtId="2" fontId="11" fillId="8" borderId="7" xfId="6" applyNumberFormat="1" applyFont="1"/>
    <xf numFmtId="0" fontId="1" fillId="2" borderId="0" xfId="1"/>
    <xf numFmtId="164" fontId="0" fillId="0" borderId="2" xfId="0" applyNumberFormat="1" applyBorder="1"/>
    <xf numFmtId="0" fontId="1" fillId="2" borderId="3" xfId="1" applyBorder="1" applyAlignment="1">
      <alignment wrapText="1"/>
    </xf>
    <xf numFmtId="0" fontId="0" fillId="0" borderId="0" xfId="0" applyAlignment="1">
      <alignment wrapText="1"/>
    </xf>
  </cellXfs>
  <cellStyles count="7">
    <cellStyle name="20% - Accent6" xfId="5" builtinId="50"/>
    <cellStyle name="Accent1" xfId="1" builtinId="29"/>
    <cellStyle name="Accent2" xfId="2" builtinId="33"/>
    <cellStyle name="Accent4" xfId="4" builtinId="41"/>
    <cellStyle name="Calculation" xfId="6" builtinId="22"/>
    <cellStyle name="Normal" xfId="0" builtinId="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204788</xdr:colOff>
          <xdr:row>14</xdr:row>
          <xdr:rowOff>166688</xdr:rowOff>
        </xdr:from>
        <xdr:to>
          <xdr:col>4</xdr:col>
          <xdr:colOff>723900</xdr:colOff>
          <xdr:row>15</xdr:row>
          <xdr:rowOff>166688</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15</xdr:row>
          <xdr:rowOff>0</xdr:rowOff>
        </xdr:from>
        <xdr:to>
          <xdr:col>5</xdr:col>
          <xdr:colOff>762000</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242888</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14</xdr:row>
          <xdr:rowOff>176213</xdr:rowOff>
        </xdr:from>
        <xdr:to>
          <xdr:col>7</xdr:col>
          <xdr:colOff>785813</xdr:colOff>
          <xdr:row>15</xdr:row>
          <xdr:rowOff>176213</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176213</xdr:rowOff>
        </xdr:from>
        <xdr:to>
          <xdr:col>9</xdr:col>
          <xdr:colOff>747713</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14</xdr:row>
          <xdr:rowOff>176213</xdr:rowOff>
        </xdr:from>
        <xdr:to>
          <xdr:col>8</xdr:col>
          <xdr:colOff>785813</xdr:colOff>
          <xdr:row>15</xdr:row>
          <xdr:rowOff>176213</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176213</xdr:rowOff>
        </xdr:from>
        <xdr:to>
          <xdr:col>10</xdr:col>
          <xdr:colOff>747713</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20</xdr:row>
          <xdr:rowOff>166688</xdr:rowOff>
        </xdr:from>
        <xdr:to>
          <xdr:col>4</xdr:col>
          <xdr:colOff>723900</xdr:colOff>
          <xdr:row>21</xdr:row>
          <xdr:rowOff>166688</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762000</xdr:colOff>
          <xdr:row>21</xdr:row>
          <xdr:rowOff>138113</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26</xdr:row>
          <xdr:rowOff>166688</xdr:rowOff>
        </xdr:from>
        <xdr:to>
          <xdr:col>4</xdr:col>
          <xdr:colOff>723900</xdr:colOff>
          <xdr:row>27</xdr:row>
          <xdr:rowOff>166688</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31</xdr:row>
          <xdr:rowOff>166688</xdr:rowOff>
        </xdr:from>
        <xdr:to>
          <xdr:col>4</xdr:col>
          <xdr:colOff>723900</xdr:colOff>
          <xdr:row>32</xdr:row>
          <xdr:rowOff>166688</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242888</xdr:colOff>
          <xdr:row>37</xdr:row>
          <xdr:rowOff>133350</xdr:rowOff>
        </xdr:from>
        <xdr:to>
          <xdr:col>4</xdr:col>
          <xdr:colOff>762000</xdr:colOff>
          <xdr:row>38</xdr:row>
          <xdr:rowOff>133350</xdr:rowOff>
        </xdr:to>
        <xdr:sp macro="" textlink="">
          <xdr:nvSpPr>
            <xdr:cNvPr id="9239" name="Button 23" hidden="1">
              <a:extLst>
                <a:ext uri="{63B3BB69-23CF-44E3-9099-C40C66FF867C}">
                  <a14:compatExt spid="_x0000_s9239"/>
                </a:ext>
                <a:ext uri="{FF2B5EF4-FFF2-40B4-BE49-F238E27FC236}">
                  <a16:creationId xmlns:a16="http://schemas.microsoft.com/office/drawing/2014/main" id="{00000000-0008-0000-0000-00001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209550</xdr:colOff>
          <xdr:row>42</xdr:row>
          <xdr:rowOff>104775</xdr:rowOff>
        </xdr:from>
        <xdr:to>
          <xdr:col>4</xdr:col>
          <xdr:colOff>728663</xdr:colOff>
          <xdr:row>43</xdr:row>
          <xdr:rowOff>104775</xdr:rowOff>
        </xdr:to>
        <xdr:sp macro="" textlink="">
          <xdr:nvSpPr>
            <xdr:cNvPr id="9240" name="Button 24" hidden="1">
              <a:extLst>
                <a:ext uri="{63B3BB69-23CF-44E3-9099-C40C66FF867C}">
                  <a14:compatExt spid="_x0000_s9240"/>
                </a:ext>
                <a:ext uri="{FF2B5EF4-FFF2-40B4-BE49-F238E27FC236}">
                  <a16:creationId xmlns:a16="http://schemas.microsoft.com/office/drawing/2014/main" id="{00000000-0008-0000-0000-00001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47</xdr:row>
          <xdr:rowOff>104775</xdr:rowOff>
        </xdr:from>
        <xdr:to>
          <xdr:col>4</xdr:col>
          <xdr:colOff>723900</xdr:colOff>
          <xdr:row>48</xdr:row>
          <xdr:rowOff>104775</xdr:rowOff>
        </xdr:to>
        <xdr:sp macro="" textlink="">
          <xdr:nvSpPr>
            <xdr:cNvPr id="9241" name="Button 25" hidden="1">
              <a:extLst>
                <a:ext uri="{63B3BB69-23CF-44E3-9099-C40C66FF867C}">
                  <a14:compatExt spid="_x0000_s9241"/>
                </a:ext>
                <a:ext uri="{FF2B5EF4-FFF2-40B4-BE49-F238E27FC236}">
                  <a16:creationId xmlns:a16="http://schemas.microsoft.com/office/drawing/2014/main" id="{00000000-0008-0000-0000-00001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d.landgrebe" refreshedDate="46112.442512731483" createdVersion="8" refreshedVersion="8" minRefreshableVersion="3" recordCount="6" xr:uid="{795073EE-26B7-46E0-B8A4-5090B7A2407A}">
  <cacheSource type="worksheet">
    <worksheetSource ref="M77:M81" sheet="SMdl"/>
  </cacheSource>
  <cacheFields count="3">
    <cacheField name="Category" numFmtId="0">
      <sharedItems count="2">
        <s v="A"/>
        <s v="B"/>
      </sharedItems>
    </cacheField>
    <cacheField name="SubCategory" numFmtId="0">
      <sharedItems count="2">
        <s v="X"/>
        <s v="Y"/>
      </sharedItems>
    </cacheField>
    <cacheField name="Amount" numFmtId="0">
      <sharedItems containsSemiMixedTypes="0" containsString="0" containsNumber="1" containsInteger="1" minValue="2" maxValue="2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x v="0"/>
    <n v="10"/>
  </r>
  <r>
    <x v="0"/>
    <x v="1"/>
    <n v="20"/>
  </r>
  <r>
    <x v="0"/>
    <x v="0"/>
    <n v="5"/>
  </r>
  <r>
    <x v="1"/>
    <x v="0"/>
    <n v="7"/>
  </r>
  <r>
    <x v="1"/>
    <x v="1"/>
    <n v="3"/>
  </r>
  <r>
    <x v="1"/>
    <x v="1"/>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A03893A-7956-4458-BC9F-C3C7197111E9}" name="PivotTable24" cacheId="0" applyNumberFormats="0" applyBorderFormats="0" applyFontFormats="0" applyPatternFormats="0" applyAlignmentFormats="0" applyWidthHeightFormats="1" dataCaption="Values" updatedVersion="8" minRefreshableVersion="3" useAutoFormatting="1" colGrandTotals="0" itemPrintTitles="1" createdVersion="8" indent="0" compact="0" compactData="0" multipleFieldFilters="0">
  <location ref="A1:C6" firstHeaderRow="1" firstDataRow="1" firstDataCol="2"/>
  <pivotFields count="3">
    <pivotField axis="axisRow" compact="0" outline="0" showAll="0" defaultSubtotal="0">
      <items count="2">
        <item x="0"/>
        <item x="1"/>
      </items>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s>
  <rowFields count="2">
    <field x="0"/>
    <field x="1"/>
  </rowFields>
  <rowItems count="5">
    <i>
      <x/>
      <x/>
    </i>
    <i r="1">
      <x v="1"/>
    </i>
    <i>
      <x v="1"/>
      <x/>
    </i>
    <i r="1">
      <x v="1"/>
    </i>
    <i t="grand">
      <x/>
    </i>
  </rowItems>
  <colItems count="1">
    <i/>
  </colItems>
  <dataFields count="1">
    <dataField name="Sum of Amount"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47"/>
  <sheetViews>
    <sheetView topLeftCell="A14" zoomScale="150" zoomScaleNormal="150" workbookViewId="0">
      <selection activeCell="B29" sqref="B29"/>
    </sheetView>
  </sheetViews>
  <sheetFormatPr defaultColWidth="8.796875" defaultRowHeight="14.25" x14ac:dyDescent="0.45"/>
  <cols>
    <col min="1" max="1" width="4.6640625" customWidth="1"/>
    <col min="2" max="2" width="7.6640625" customWidth="1"/>
    <col min="3" max="3" width="15" style="6" customWidth="1"/>
    <col min="4" max="4" width="4.6640625" customWidth="1"/>
    <col min="5" max="5" width="15" customWidth="1"/>
    <col min="6" max="7" width="16.6640625" bestFit="1" customWidth="1"/>
    <col min="8" max="10" width="15" customWidth="1"/>
    <col min="11" max="12" width="11.6640625" bestFit="1" customWidth="1"/>
  </cols>
  <sheetData>
    <row r="1" spans="1:11" ht="23.25" x14ac:dyDescent="0.7">
      <c r="A1" s="14" t="s">
        <v>127</v>
      </c>
    </row>
    <row r="2" spans="1:11" ht="240" customHeight="1" x14ac:dyDescent="0.45">
      <c r="A2" s="38" t="s">
        <v>128</v>
      </c>
      <c r="B2" s="38"/>
      <c r="C2" s="38"/>
      <c r="D2" s="38"/>
      <c r="E2" s="38"/>
      <c r="F2" s="38"/>
      <c r="G2" s="38"/>
      <c r="H2" s="38"/>
    </row>
    <row r="7" spans="1:11" ht="23.25" x14ac:dyDescent="0.7">
      <c r="A7" s="14" t="s">
        <v>196</v>
      </c>
    </row>
    <row r="9" spans="1:11" x14ac:dyDescent="0.45">
      <c r="C9" s="6" t="s">
        <v>195</v>
      </c>
      <c r="E9" s="8" t="s">
        <v>146</v>
      </c>
      <c r="F9" s="8" t="s">
        <v>17</v>
      </c>
      <c r="G9" s="8" t="s">
        <v>18</v>
      </c>
      <c r="H9" s="8" t="s">
        <v>148</v>
      </c>
      <c r="I9" s="8" t="s">
        <v>31</v>
      </c>
      <c r="J9" s="8" t="s">
        <v>43</v>
      </c>
      <c r="K9" s="9" t="s">
        <v>49</v>
      </c>
    </row>
    <row r="10" spans="1:11" ht="47.25" x14ac:dyDescent="0.45">
      <c r="C10" s="6" t="s">
        <v>35</v>
      </c>
      <c r="E10" s="7" t="s">
        <v>147</v>
      </c>
      <c r="F10" s="7" t="s">
        <v>42</v>
      </c>
      <c r="G10" s="7" t="s">
        <v>41</v>
      </c>
      <c r="H10" s="7" t="s">
        <v>150</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151</v>
      </c>
      <c r="F20" s="7" t="s">
        <v>152</v>
      </c>
      <c r="G20" s="7"/>
    </row>
    <row r="25" spans="1:7" x14ac:dyDescent="0.45">
      <c r="C25" s="6" t="s">
        <v>177</v>
      </c>
      <c r="E25" s="8" t="s">
        <v>175</v>
      </c>
    </row>
    <row r="26" spans="1:7" ht="35.65" x14ac:dyDescent="0.45">
      <c r="E26" s="7" t="s">
        <v>176</v>
      </c>
    </row>
    <row r="27" spans="1:7" x14ac:dyDescent="0.45">
      <c r="E27" s="28" t="s">
        <v>227</v>
      </c>
    </row>
    <row r="30" spans="1:7" x14ac:dyDescent="0.45">
      <c r="B30" t="s">
        <v>192</v>
      </c>
      <c r="E30" s="8" t="s">
        <v>193</v>
      </c>
    </row>
    <row r="31" spans="1:7" ht="24" x14ac:dyDescent="0.45">
      <c r="E31" s="7" t="s">
        <v>194</v>
      </c>
    </row>
    <row r="36" spans="2:5" x14ac:dyDescent="0.45">
      <c r="B36" t="s">
        <v>376</v>
      </c>
      <c r="E36" s="8" t="s">
        <v>193</v>
      </c>
    </row>
    <row r="37" spans="2:5" ht="24" x14ac:dyDescent="0.45">
      <c r="E37" s="7" t="s">
        <v>379</v>
      </c>
    </row>
    <row r="38" spans="2:5" x14ac:dyDescent="0.45">
      <c r="E38" s="29"/>
    </row>
    <row r="39" spans="2:5" x14ac:dyDescent="0.45">
      <c r="E39" s="29"/>
    </row>
    <row r="41" spans="2:5" x14ac:dyDescent="0.45">
      <c r="E41" s="8" t="s">
        <v>193</v>
      </c>
    </row>
    <row r="42" spans="2:5" ht="24" x14ac:dyDescent="0.45">
      <c r="E42" s="7" t="s">
        <v>378</v>
      </c>
    </row>
    <row r="43" spans="2:5" x14ac:dyDescent="0.45">
      <c r="E43" s="29"/>
    </row>
    <row r="44" spans="2:5" x14ac:dyDescent="0.45">
      <c r="E44" s="29"/>
    </row>
    <row r="46" spans="2:5" x14ac:dyDescent="0.45">
      <c r="E46" s="8" t="s">
        <v>193</v>
      </c>
    </row>
    <row r="47" spans="2:5" ht="35.65" x14ac:dyDescent="0.45">
      <c r="E47" s="7" t="s">
        <v>377</v>
      </c>
    </row>
  </sheetData>
  <sortState xmlns:xlrd2="http://schemas.microsoft.com/office/spreadsheetml/2017/richdata2" ref="E18:F58">
    <sortCondition ref="F18:F58"/>
    <sortCondition ref="E18:E58"/>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204788</xdr:colOff>
                    <xdr:row>14</xdr:row>
                    <xdr:rowOff>166688</xdr:rowOff>
                  </from>
                  <to>
                    <xdr:col>4</xdr:col>
                    <xdr:colOff>723900</xdr:colOff>
                    <xdr:row>15</xdr:row>
                    <xdr:rowOff>166688</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228600</xdr:colOff>
                    <xdr:row>15</xdr:row>
                    <xdr:rowOff>0</xdr:rowOff>
                  </from>
                  <to>
                    <xdr:col>5</xdr:col>
                    <xdr:colOff>762000</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242888</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266700</xdr:colOff>
                    <xdr:row>14</xdr:row>
                    <xdr:rowOff>176213</xdr:rowOff>
                  </from>
                  <to>
                    <xdr:col>7</xdr:col>
                    <xdr:colOff>785813</xdr:colOff>
                    <xdr:row>15</xdr:row>
                    <xdr:rowOff>176213</xdr:rowOff>
                  </to>
                </anchor>
              </controlPr>
            </control>
          </mc:Choice>
        </mc:AlternateContent>
        <mc:AlternateContent xmlns:mc="http://schemas.openxmlformats.org/markup-compatibility/2006">
          <mc:Choice Requires="x14">
            <control shapeId="9226" r:id="rId8" name="Button 10">
              <controlPr defaultSize="0" print="0" autoFill="0" autoPict="0" macro="[0]!CreateSMdl6">
                <anchor moveWithCells="1" sizeWithCells="1">
                  <from>
                    <xdr:col>9</xdr:col>
                    <xdr:colOff>228600</xdr:colOff>
                    <xdr:row>14</xdr:row>
                    <xdr:rowOff>176213</xdr:rowOff>
                  </from>
                  <to>
                    <xdr:col>9</xdr:col>
                    <xdr:colOff>747713</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266700</xdr:colOff>
                    <xdr:row>14</xdr:row>
                    <xdr:rowOff>176213</xdr:rowOff>
                  </from>
                  <to>
                    <xdr:col>8</xdr:col>
                    <xdr:colOff>785813</xdr:colOff>
                    <xdr:row>15</xdr:row>
                    <xdr:rowOff>176213</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176213</xdr:rowOff>
                  </from>
                  <to>
                    <xdr:col>10</xdr:col>
                    <xdr:colOff>747713</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204788</xdr:colOff>
                    <xdr:row>20</xdr:row>
                    <xdr:rowOff>166688</xdr:rowOff>
                  </from>
                  <to>
                    <xdr:col>4</xdr:col>
                    <xdr:colOff>723900</xdr:colOff>
                    <xdr:row>21</xdr:row>
                    <xdr:rowOff>166688</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762000</xdr:colOff>
                    <xdr:row>21</xdr:row>
                    <xdr:rowOff>138113</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204788</xdr:colOff>
                    <xdr:row>26</xdr:row>
                    <xdr:rowOff>166688</xdr:rowOff>
                  </from>
                  <to>
                    <xdr:col>4</xdr:col>
                    <xdr:colOff>723900</xdr:colOff>
                    <xdr:row>27</xdr:row>
                    <xdr:rowOff>166688</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204788</xdr:colOff>
                    <xdr:row>31</xdr:row>
                    <xdr:rowOff>166688</xdr:rowOff>
                  </from>
                  <to>
                    <xdr:col>4</xdr:col>
                    <xdr:colOff>723900</xdr:colOff>
                    <xdr:row>32</xdr:row>
                    <xdr:rowOff>166688</xdr:rowOff>
                  </to>
                </anchor>
              </controlPr>
            </control>
          </mc:Choice>
        </mc:AlternateContent>
        <mc:AlternateContent xmlns:mc="http://schemas.openxmlformats.org/markup-compatibility/2006">
          <mc:Choice Requires="x14">
            <control shapeId="9239" r:id="rId15" name="Button 23">
              <controlPr defaultSize="0" print="0" autoFill="0" autoPict="0" macro="[0]!PivotTableDemo1">
                <anchor moveWithCells="1" sizeWithCells="1">
                  <from>
                    <xdr:col>4</xdr:col>
                    <xdr:colOff>242888</xdr:colOff>
                    <xdr:row>37</xdr:row>
                    <xdr:rowOff>133350</xdr:rowOff>
                  </from>
                  <to>
                    <xdr:col>4</xdr:col>
                    <xdr:colOff>762000</xdr:colOff>
                    <xdr:row>38</xdr:row>
                    <xdr:rowOff>133350</xdr:rowOff>
                  </to>
                </anchor>
              </controlPr>
            </control>
          </mc:Choice>
        </mc:AlternateContent>
        <mc:AlternateContent xmlns:mc="http://schemas.openxmlformats.org/markup-compatibility/2006">
          <mc:Choice Requires="x14">
            <control shapeId="9240" r:id="rId16" name="Button 24">
              <controlPr defaultSize="0" print="0" autoFill="0" autoPict="0" macro="[0]!PivotTableDemo2">
                <anchor moveWithCells="1" sizeWithCells="1">
                  <from>
                    <xdr:col>4</xdr:col>
                    <xdr:colOff>209550</xdr:colOff>
                    <xdr:row>42</xdr:row>
                    <xdr:rowOff>104775</xdr:rowOff>
                  </from>
                  <to>
                    <xdr:col>4</xdr:col>
                    <xdr:colOff>728663</xdr:colOff>
                    <xdr:row>43</xdr:row>
                    <xdr:rowOff>104775</xdr:rowOff>
                  </to>
                </anchor>
              </controlPr>
            </control>
          </mc:Choice>
        </mc:AlternateContent>
        <mc:AlternateContent xmlns:mc="http://schemas.openxmlformats.org/markup-compatibility/2006">
          <mc:Choice Requires="x14">
            <control shapeId="9241" r:id="rId17" name="Button 25">
              <controlPr defaultSize="0" print="0" autoFill="0" autoPict="0" macro="[0]!PivotTableDemo3">
                <anchor moveWithCells="1" sizeWithCells="1">
                  <from>
                    <xdr:col>4</xdr:col>
                    <xdr:colOff>204788</xdr:colOff>
                    <xdr:row>47</xdr:row>
                    <xdr:rowOff>104775</xdr:rowOff>
                  </from>
                  <to>
                    <xdr:col>4</xdr:col>
                    <xdr:colOff>723900</xdr:colOff>
                    <xdr:row>48</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ColWidth="8.796875" defaultRowHeight="14.25" x14ac:dyDescent="0.45"/>
  <cols>
    <col min="1" max="1" width="14.796875" bestFit="1" customWidth="1"/>
    <col min="2" max="2" width="26.3320312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CD00B1-A8F8-4512-9B18-E9376223482B}">
  <sheetPr codeName="Sheet19">
    <outlinePr summaryBelow="0" summaryRight="0"/>
  </sheetPr>
  <dimension ref="C4:I9"/>
  <sheetViews>
    <sheetView showGridLines="0" tabSelected="1" zoomScale="120" zoomScaleNormal="120" workbookViewId="0">
      <selection activeCell="T9" sqref="T9"/>
    </sheetView>
  </sheetViews>
  <sheetFormatPr defaultRowHeight="14.25" x14ac:dyDescent="0.45"/>
  <cols>
    <col min="3" max="3" width="6.3984375" customWidth="1"/>
    <col min="4" max="5" width="7.3984375" customWidth="1"/>
    <col min="6" max="8" width="8.3984375" customWidth="1"/>
    <col min="9" max="9" width="15.59765625" customWidth="1"/>
  </cols>
  <sheetData>
    <row r="4" spans="3:9" x14ac:dyDescent="0.45">
      <c r="C4" s="37" t="s">
        <v>388</v>
      </c>
      <c r="D4" s="37" t="s">
        <v>389</v>
      </c>
      <c r="E4" s="37" t="s">
        <v>390</v>
      </c>
      <c r="F4" s="37" t="s">
        <v>391</v>
      </c>
      <c r="G4" s="37" t="s">
        <v>392</v>
      </c>
      <c r="H4" s="37" t="s">
        <v>393</v>
      </c>
      <c r="I4" s="35" t="s">
        <v>406</v>
      </c>
    </row>
    <row r="5" spans="3:9" x14ac:dyDescent="0.45">
      <c r="C5" s="3" t="s">
        <v>373</v>
      </c>
      <c r="D5" s="3" t="s">
        <v>395</v>
      </c>
      <c r="E5" s="3" t="s">
        <v>400</v>
      </c>
      <c r="F5" s="3">
        <v>1.05</v>
      </c>
      <c r="G5" s="36">
        <v>27</v>
      </c>
      <c r="H5" s="5">
        <v>12.6</v>
      </c>
      <c r="I5" s="34">
        <f>_xlfn.SINGLE(Custom_Data_2) + _xlfn.SINGLE(Custom_Data_3)</f>
        <v>39.6</v>
      </c>
    </row>
    <row r="6" spans="3:9" x14ac:dyDescent="0.45">
      <c r="C6" s="3" t="s">
        <v>373</v>
      </c>
      <c r="D6" s="3" t="s">
        <v>396</v>
      </c>
      <c r="E6" s="3" t="s">
        <v>401</v>
      </c>
      <c r="F6" s="3">
        <v>1.43</v>
      </c>
      <c r="G6" s="36">
        <v>22</v>
      </c>
      <c r="H6" s="5">
        <v>14.7</v>
      </c>
      <c r="I6" s="34">
        <f>_xlfn.SINGLE(Custom_Data_2) + _xlfn.SINGLE(Custom_Data_3)</f>
        <v>36.700000000000003</v>
      </c>
    </row>
    <row r="7" spans="3:9" x14ac:dyDescent="0.45">
      <c r="C7" s="3" t="s">
        <v>374</v>
      </c>
      <c r="D7" s="3" t="s">
        <v>397</v>
      </c>
      <c r="E7" s="3" t="s">
        <v>402</v>
      </c>
      <c r="F7" s="3">
        <v>0.27</v>
      </c>
      <c r="G7" s="36">
        <v>34</v>
      </c>
      <c r="H7" s="5">
        <v>15.2</v>
      </c>
      <c r="I7" s="34">
        <f>_xlfn.SINGLE(Custom_Data_2) + _xlfn.SINGLE(Custom_Data_3)</f>
        <v>49.2</v>
      </c>
    </row>
    <row r="8" spans="3:9" x14ac:dyDescent="0.45">
      <c r="C8" s="3" t="s">
        <v>202</v>
      </c>
      <c r="D8" s="3" t="s">
        <v>398</v>
      </c>
      <c r="E8" s="3" t="s">
        <v>403</v>
      </c>
      <c r="F8" s="3">
        <v>0.1</v>
      </c>
      <c r="G8" s="36">
        <v>19</v>
      </c>
      <c r="H8" s="5">
        <v>15.8</v>
      </c>
      <c r="I8" s="34">
        <f>_xlfn.SINGLE(Custom_Data_2) + _xlfn.SINGLE(Custom_Data_3)</f>
        <v>34.799999999999997</v>
      </c>
    </row>
    <row r="9" spans="3:9" x14ac:dyDescent="0.45">
      <c r="C9" s="3" t="s">
        <v>394</v>
      </c>
      <c r="D9" s="3" t="s">
        <v>399</v>
      </c>
      <c r="E9" s="3" t="s">
        <v>404</v>
      </c>
      <c r="F9" s="3">
        <v>5.0000000000000001E-3</v>
      </c>
      <c r="G9" s="36">
        <v>18</v>
      </c>
      <c r="H9" s="5">
        <v>9.6</v>
      </c>
      <c r="I9" s="34">
        <f>_xlfn.SINGLE(Custom_Data_2) + _xlfn.SINGLE(Custom_Data_3)</f>
        <v>27.6</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DCD07-2F37-403F-A67F-ACD4A43FFC7F}">
  <sheetPr codeName="Sheet48"/>
  <dimension ref="A1:C6"/>
  <sheetViews>
    <sheetView zoomScale="120" zoomScaleNormal="120" workbookViewId="0">
      <selection activeCell="G9" sqref="G9"/>
    </sheetView>
  </sheetViews>
  <sheetFormatPr defaultRowHeight="14.25" x14ac:dyDescent="0.45"/>
  <cols>
    <col min="1" max="1" width="12.06640625" bestFit="1" customWidth="1"/>
    <col min="2" max="2" width="13.19921875" bestFit="1" customWidth="1"/>
    <col min="3" max="3" width="13.6640625" bestFit="1" customWidth="1"/>
  </cols>
  <sheetData>
    <row r="1" spans="1:3" x14ac:dyDescent="0.45">
      <c r="A1" s="30" t="s">
        <v>371</v>
      </c>
      <c r="B1" s="30" t="s">
        <v>372</v>
      </c>
      <c r="C1" t="s">
        <v>375</v>
      </c>
    </row>
    <row r="2" spans="1:3" x14ac:dyDescent="0.45">
      <c r="A2" t="s">
        <v>373</v>
      </c>
      <c r="B2" t="s">
        <v>351</v>
      </c>
      <c r="C2">
        <v>15</v>
      </c>
    </row>
    <row r="3" spans="1:3" x14ac:dyDescent="0.45">
      <c r="A3" t="s">
        <v>373</v>
      </c>
      <c r="B3" t="s">
        <v>352</v>
      </c>
      <c r="C3">
        <v>20</v>
      </c>
    </row>
    <row r="4" spans="1:3" x14ac:dyDescent="0.45">
      <c r="A4" t="s">
        <v>374</v>
      </c>
      <c r="B4" t="s">
        <v>351</v>
      </c>
      <c r="C4">
        <v>7</v>
      </c>
    </row>
    <row r="5" spans="1:3" x14ac:dyDescent="0.45">
      <c r="A5" t="s">
        <v>374</v>
      </c>
      <c r="B5" t="s">
        <v>352</v>
      </c>
      <c r="C5">
        <v>5</v>
      </c>
    </row>
    <row r="6" spans="1:3" x14ac:dyDescent="0.45">
      <c r="A6" t="s">
        <v>370</v>
      </c>
      <c r="C6">
        <v>47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ColWidth="8.796875" defaultRowHeight="14.25" x14ac:dyDescent="0.45"/>
  <cols>
    <col min="1" max="1" width="27.79687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13</v>
      </c>
      <c r="B2" t="b">
        <v>1</v>
      </c>
    </row>
    <row r="3" spans="1:4" x14ac:dyDescent="0.45">
      <c r="A3" t="s">
        <v>140</v>
      </c>
      <c r="B3" t="b">
        <v>1</v>
      </c>
    </row>
    <row r="4" spans="1:4" x14ac:dyDescent="0.45">
      <c r="A4" t="s">
        <v>141</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54</v>
      </c>
      <c r="B15" t="b">
        <v>1</v>
      </c>
    </row>
    <row r="16" spans="1:4" x14ac:dyDescent="0.45">
      <c r="A16" t="s">
        <v>56</v>
      </c>
      <c r="B16" t="b">
        <v>1</v>
      </c>
    </row>
    <row r="17" spans="1:2" x14ac:dyDescent="0.45">
      <c r="A17" t="s">
        <v>57</v>
      </c>
      <c r="B17" t="b">
        <v>1</v>
      </c>
    </row>
    <row r="18" spans="1:2" x14ac:dyDescent="0.45">
      <c r="A18" t="s">
        <v>120</v>
      </c>
      <c r="B18" t="b">
        <v>1</v>
      </c>
    </row>
    <row r="19" spans="1:2" x14ac:dyDescent="0.45">
      <c r="A19" t="s">
        <v>125</v>
      </c>
      <c r="B19" t="b">
        <v>1</v>
      </c>
    </row>
    <row r="20" spans="1:2" x14ac:dyDescent="0.45">
      <c r="A20" t="s">
        <v>144</v>
      </c>
      <c r="B20" t="b">
        <v>1</v>
      </c>
    </row>
    <row r="21" spans="1:2" x14ac:dyDescent="0.45">
      <c r="A21" t="s">
        <v>145</v>
      </c>
      <c r="B21" t="b">
        <v>1</v>
      </c>
    </row>
    <row r="22" spans="1:2" x14ac:dyDescent="0.45">
      <c r="A22" t="s">
        <v>156</v>
      </c>
      <c r="B22" t="b">
        <v>1</v>
      </c>
    </row>
    <row r="23" spans="1:2" x14ac:dyDescent="0.45">
      <c r="A23" t="s">
        <v>157</v>
      </c>
      <c r="B23" t="b">
        <v>1</v>
      </c>
    </row>
    <row r="24" spans="1:2" x14ac:dyDescent="0.45">
      <c r="A24" t="s">
        <v>149</v>
      </c>
      <c r="B24" t="b">
        <v>1</v>
      </c>
    </row>
    <row r="25" spans="1:2" x14ac:dyDescent="0.45">
      <c r="A25" t="s">
        <v>158</v>
      </c>
      <c r="B25" t="b">
        <v>1</v>
      </c>
    </row>
    <row r="26" spans="1:2" x14ac:dyDescent="0.45">
      <c r="A26" t="s">
        <v>159</v>
      </c>
      <c r="B26" t="b">
        <v>1</v>
      </c>
    </row>
    <row r="27" spans="1:2" x14ac:dyDescent="0.45">
      <c r="A27" t="s">
        <v>160</v>
      </c>
      <c r="B27" t="b">
        <v>1</v>
      </c>
    </row>
    <row r="28" spans="1:2" x14ac:dyDescent="0.45">
      <c r="A28" t="s">
        <v>161</v>
      </c>
      <c r="B28" t="b">
        <v>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2423-532F-4F31-B4F4-4BFADDC23812}">
  <sheetPr codeName="Sheet18"/>
  <dimension ref="A1:I24"/>
  <sheetViews>
    <sheetView workbookViewId="0">
      <pane ySplit="1" topLeftCell="A2" activePane="bottomLeft" state="frozenSplit"/>
      <selection pane="bottomLeft" sqref="A1:E29"/>
    </sheetView>
  </sheetViews>
  <sheetFormatPr defaultColWidth="9" defaultRowHeight="14.25" x14ac:dyDescent="0.45"/>
  <cols>
    <col min="1" max="3" width="12.59765625" style="31" customWidth="1"/>
    <col min="4" max="4" width="32.59765625" style="32" customWidth="1"/>
    <col min="5" max="5" width="12.59765625" style="31" customWidth="1"/>
    <col min="6" max="6" width="7.59765625" style="31" customWidth="1"/>
    <col min="7" max="7" width="12.59765625" style="29" customWidth="1"/>
    <col min="8" max="8" width="7.59765625" style="33" customWidth="1"/>
    <col min="9" max="9" width="7.59765625" style="31" customWidth="1"/>
  </cols>
  <sheetData>
    <row r="1" spans="1:9" ht="24" x14ac:dyDescent="0.45">
      <c r="A1" s="20" t="s">
        <v>183</v>
      </c>
      <c r="B1" s="20" t="s">
        <v>184</v>
      </c>
      <c r="C1" s="20" t="s">
        <v>185</v>
      </c>
      <c r="D1" s="21" t="s">
        <v>186</v>
      </c>
      <c r="E1" s="20" t="s">
        <v>187</v>
      </c>
      <c r="F1" s="20" t="s">
        <v>188</v>
      </c>
      <c r="G1" s="20" t="s">
        <v>189</v>
      </c>
      <c r="H1" s="21" t="s">
        <v>190</v>
      </c>
      <c r="I1" s="20" t="s">
        <v>191</v>
      </c>
    </row>
    <row r="2" spans="1:9" x14ac:dyDescent="0.45">
      <c r="A2" s="22" t="s">
        <v>34</v>
      </c>
      <c r="B2" s="22" t="s">
        <v>392</v>
      </c>
      <c r="C2" s="22" t="s">
        <v>405</v>
      </c>
      <c r="D2" s="23"/>
      <c r="E2" s="22"/>
      <c r="F2" s="22"/>
      <c r="G2" s="24"/>
      <c r="H2" s="25" t="s">
        <v>258</v>
      </c>
      <c r="I2" s="22"/>
    </row>
    <row r="3" spans="1:9" ht="24" x14ac:dyDescent="0.45">
      <c r="A3" s="22" t="s">
        <v>34</v>
      </c>
      <c r="B3" s="22" t="s">
        <v>406</v>
      </c>
      <c r="C3" s="22" t="s">
        <v>387</v>
      </c>
      <c r="D3" s="23" t="s">
        <v>408</v>
      </c>
      <c r="E3" s="22" t="s">
        <v>393</v>
      </c>
      <c r="F3" s="22" t="b">
        <v>1</v>
      </c>
      <c r="G3" s="24" t="s">
        <v>407</v>
      </c>
      <c r="H3" s="25" t="s">
        <v>257</v>
      </c>
      <c r="I3" s="22">
        <v>15</v>
      </c>
    </row>
    <row r="4" spans="1:9" x14ac:dyDescent="0.45">
      <c r="A4" s="22"/>
      <c r="B4" s="22"/>
      <c r="C4" s="22"/>
      <c r="D4" s="23"/>
      <c r="E4" s="22"/>
      <c r="F4" s="22"/>
      <c r="G4" s="24"/>
      <c r="H4" s="25"/>
      <c r="I4" s="22"/>
    </row>
    <row r="5" spans="1:9" x14ac:dyDescent="0.45">
      <c r="A5" s="22"/>
      <c r="B5" s="22"/>
      <c r="C5" s="22"/>
      <c r="D5" s="23" t="s">
        <v>197</v>
      </c>
      <c r="E5" s="22"/>
      <c r="F5" s="22"/>
      <c r="G5" s="24"/>
      <c r="H5" s="25"/>
      <c r="I5" s="22"/>
    </row>
    <row r="6" spans="1:9" x14ac:dyDescent="0.45">
      <c r="A6" s="22"/>
      <c r="B6" s="22"/>
      <c r="C6" s="22"/>
      <c r="D6" s="23" t="s">
        <v>197</v>
      </c>
      <c r="E6" s="22"/>
      <c r="F6" s="22"/>
      <c r="G6" s="24"/>
      <c r="H6" s="25"/>
      <c r="I6" s="22"/>
    </row>
    <row r="7" spans="1:9" x14ac:dyDescent="0.45">
      <c r="A7" s="22"/>
      <c r="B7" s="22"/>
      <c r="C7" s="22"/>
      <c r="D7" s="23" t="s">
        <v>197</v>
      </c>
      <c r="E7" s="22"/>
      <c r="F7" s="22"/>
      <c r="G7" s="24"/>
      <c r="H7" s="25"/>
      <c r="I7" s="22"/>
    </row>
    <row r="8" spans="1:9" x14ac:dyDescent="0.45">
      <c r="A8" s="22"/>
      <c r="B8" s="22"/>
      <c r="C8" s="22"/>
      <c r="D8" s="23" t="s">
        <v>197</v>
      </c>
      <c r="E8" s="22"/>
      <c r="F8" s="22"/>
      <c r="G8" s="24"/>
      <c r="H8" s="25"/>
      <c r="I8" s="22"/>
    </row>
    <row r="9" spans="1:9" x14ac:dyDescent="0.45">
      <c r="A9" s="22"/>
      <c r="B9" s="22"/>
      <c r="C9" s="22"/>
      <c r="D9" s="23" t="s">
        <v>197</v>
      </c>
      <c r="E9" s="22"/>
      <c r="F9" s="22"/>
      <c r="G9" s="24"/>
      <c r="H9" s="25"/>
      <c r="I9" s="22"/>
    </row>
    <row r="10" spans="1:9" x14ac:dyDescent="0.45">
      <c r="A10" s="22"/>
      <c r="B10" s="22"/>
      <c r="C10" s="22"/>
      <c r="D10" s="23" t="s">
        <v>197</v>
      </c>
      <c r="E10" s="22"/>
      <c r="F10" s="22"/>
      <c r="G10" s="24"/>
      <c r="H10" s="25"/>
      <c r="I10" s="22"/>
    </row>
    <row r="11" spans="1:9" x14ac:dyDescent="0.45">
      <c r="A11" s="22"/>
      <c r="B11" s="22"/>
      <c r="C11" s="22"/>
      <c r="D11" s="23" t="s">
        <v>197</v>
      </c>
      <c r="E11" s="22"/>
      <c r="F11" s="22"/>
      <c r="G11" s="24"/>
      <c r="H11" s="25"/>
      <c r="I11" s="22"/>
    </row>
    <row r="12" spans="1:9" x14ac:dyDescent="0.45">
      <c r="A12" s="22"/>
      <c r="B12" s="22"/>
      <c r="C12" s="22"/>
      <c r="D12" s="23" t="s">
        <v>197</v>
      </c>
      <c r="E12" s="22"/>
      <c r="F12" s="22"/>
      <c r="G12" s="24"/>
      <c r="H12" s="25"/>
      <c r="I12" s="22"/>
    </row>
    <row r="13" spans="1:9" x14ac:dyDescent="0.45">
      <c r="A13" s="22"/>
      <c r="B13" s="22"/>
      <c r="C13" s="22"/>
      <c r="D13" s="23" t="s">
        <v>197</v>
      </c>
      <c r="E13" s="22"/>
      <c r="F13" s="22"/>
      <c r="G13" s="24"/>
      <c r="H13" s="25"/>
      <c r="I13" s="22"/>
    </row>
    <row r="14" spans="1:9" x14ac:dyDescent="0.45">
      <c r="A14" s="22"/>
      <c r="B14" s="22"/>
      <c r="C14" s="22"/>
      <c r="D14" s="23" t="s">
        <v>197</v>
      </c>
      <c r="E14" s="22"/>
      <c r="F14" s="22"/>
      <c r="G14" s="24"/>
      <c r="H14" s="25"/>
      <c r="I14" s="22"/>
    </row>
    <row r="15" spans="1:9" x14ac:dyDescent="0.45">
      <c r="A15" s="22"/>
      <c r="B15" s="22"/>
      <c r="C15" s="22"/>
      <c r="D15" s="23" t="s">
        <v>197</v>
      </c>
      <c r="E15" s="22"/>
      <c r="F15" s="22"/>
      <c r="G15" s="24"/>
      <c r="H15" s="25"/>
      <c r="I15" s="22"/>
    </row>
    <row r="16" spans="1:9" x14ac:dyDescent="0.45">
      <c r="A16" s="22"/>
      <c r="B16" s="22"/>
      <c r="C16" s="22"/>
      <c r="D16" s="23" t="s">
        <v>197</v>
      </c>
      <c r="E16" s="22"/>
      <c r="F16" s="22"/>
      <c r="G16" s="24"/>
      <c r="H16" s="25"/>
      <c r="I16" s="22"/>
    </row>
    <row r="17" spans="1:9" x14ac:dyDescent="0.45">
      <c r="A17" s="22"/>
      <c r="B17" s="22"/>
      <c r="C17" s="22"/>
      <c r="D17" s="23" t="s">
        <v>197</v>
      </c>
      <c r="E17" s="22"/>
      <c r="F17" s="22"/>
      <c r="G17" s="24"/>
      <c r="H17" s="25"/>
      <c r="I17" s="22"/>
    </row>
    <row r="18" spans="1:9" x14ac:dyDescent="0.45">
      <c r="A18" s="22"/>
      <c r="B18" s="22"/>
      <c r="C18" s="22"/>
      <c r="D18" s="23" t="s">
        <v>197</v>
      </c>
      <c r="E18" s="22"/>
      <c r="F18" s="22"/>
      <c r="G18" s="24"/>
      <c r="H18" s="25"/>
      <c r="I18" s="22"/>
    </row>
    <row r="19" spans="1:9" x14ac:dyDescent="0.45">
      <c r="A19" s="22"/>
      <c r="B19" s="22"/>
      <c r="C19" s="22"/>
      <c r="D19" s="23" t="s">
        <v>197</v>
      </c>
      <c r="E19" s="22"/>
      <c r="F19" s="22"/>
      <c r="G19" s="24"/>
      <c r="H19" s="25"/>
      <c r="I19" s="22"/>
    </row>
    <row r="20" spans="1:9" x14ac:dyDescent="0.45">
      <c r="A20" s="22"/>
      <c r="B20" s="22"/>
      <c r="C20" s="22"/>
      <c r="D20" s="23" t="s">
        <v>197</v>
      </c>
      <c r="E20" s="22"/>
      <c r="F20" s="22"/>
      <c r="G20" s="24"/>
      <c r="H20" s="25"/>
      <c r="I20" s="22"/>
    </row>
    <row r="21" spans="1:9" x14ac:dyDescent="0.45">
      <c r="A21" s="22"/>
      <c r="B21" s="22"/>
      <c r="C21" s="22"/>
      <c r="D21" s="23" t="s">
        <v>197</v>
      </c>
      <c r="E21" s="22"/>
      <c r="F21" s="22"/>
      <c r="G21" s="24"/>
      <c r="H21" s="25"/>
      <c r="I21" s="22"/>
    </row>
    <row r="22" spans="1:9" x14ac:dyDescent="0.45">
      <c r="D22" s="32" t="s">
        <v>197</v>
      </c>
    </row>
    <row r="23" spans="1:9" x14ac:dyDescent="0.45">
      <c r="D23" s="32" t="s">
        <v>197</v>
      </c>
    </row>
    <row r="24" spans="1:9" x14ac:dyDescent="0.45">
      <c r="D24" s="32" t="s">
        <v>197</v>
      </c>
    </row>
  </sheetData>
  <dataValidations count="1">
    <dataValidation type="list" allowBlank="1" showInputMessage="1" showErrorMessage="1" sqref="C2:C21" xr:uid="{50D2953B-ADAC-2A44-98DC-90F9F156805C}">
      <formula1>"Col_Format,Col_Insert,Col_Delete,Col_Rename,Col_AddGroup,Col_CondFormat,Col_Dropdown,Tbl_FreezeRow1,Tbl_Sort,Tbl_SplitCols,Delete_FlagRows,Delete_RowsWithVal"</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J10"/>
  <sheetViews>
    <sheetView zoomScale="120" zoomScaleNormal="120" workbookViewId="0">
      <pane ySplit="1" topLeftCell="A2" activePane="bottomLeft" state="frozenSplit"/>
      <selection pane="bottomLeft" activeCell="A2" sqref="A2:J10"/>
    </sheetView>
  </sheetViews>
  <sheetFormatPr defaultColWidth="8.796875" defaultRowHeight="14.25" x14ac:dyDescent="0.45"/>
  <cols>
    <col min="1" max="3" width="18.59765625" customWidth="1"/>
    <col min="4" max="4" width="30.59765625" customWidth="1"/>
    <col min="5" max="6" width="18.59765625" customWidth="1"/>
    <col min="7" max="8" width="18.59765625" style="26" customWidth="1"/>
    <col min="9" max="10" width="18.59765625" customWidth="1"/>
  </cols>
  <sheetData>
    <row r="1" spans="1:10" x14ac:dyDescent="0.45">
      <c r="A1" s="15" t="s">
        <v>129</v>
      </c>
      <c r="B1" s="15" t="s">
        <v>130</v>
      </c>
      <c r="C1" s="15" t="s">
        <v>131</v>
      </c>
      <c r="D1" s="15" t="s">
        <v>132</v>
      </c>
      <c r="E1" s="15" t="s">
        <v>133</v>
      </c>
      <c r="F1" s="15" t="s">
        <v>134</v>
      </c>
      <c r="G1" s="27" t="s">
        <v>135</v>
      </c>
      <c r="H1" s="27" t="s">
        <v>136</v>
      </c>
      <c r="I1" s="15" t="s">
        <v>137</v>
      </c>
      <c r="J1" s="15" t="s">
        <v>138</v>
      </c>
    </row>
    <row r="2" spans="1:10" x14ac:dyDescent="0.45">
      <c r="A2" t="s">
        <v>230</v>
      </c>
      <c r="B2" t="s">
        <v>203</v>
      </c>
      <c r="D2" t="s">
        <v>204</v>
      </c>
      <c r="E2" t="s">
        <v>205</v>
      </c>
      <c r="H2" s="26" t="s">
        <v>229</v>
      </c>
      <c r="I2" t="s">
        <v>32</v>
      </c>
      <c r="J2" t="s">
        <v>230</v>
      </c>
    </row>
    <row r="3" spans="1:10" x14ac:dyDescent="0.45">
      <c r="A3" t="s">
        <v>230</v>
      </c>
      <c r="B3" t="s">
        <v>203</v>
      </c>
      <c r="E3" t="s">
        <v>206</v>
      </c>
    </row>
    <row r="4" spans="1:10" x14ac:dyDescent="0.45">
      <c r="A4" t="s">
        <v>230</v>
      </c>
      <c r="B4" t="s">
        <v>231</v>
      </c>
      <c r="D4" t="s">
        <v>232</v>
      </c>
      <c r="E4" t="s">
        <v>233</v>
      </c>
      <c r="F4" t="s">
        <v>234</v>
      </c>
      <c r="G4" s="26" t="s">
        <v>228</v>
      </c>
      <c r="H4" s="26" t="s">
        <v>229</v>
      </c>
      <c r="I4" t="s">
        <v>32</v>
      </c>
      <c r="J4">
        <v>10000</v>
      </c>
    </row>
    <row r="5" spans="1:10" x14ac:dyDescent="0.45">
      <c r="A5" t="s">
        <v>230</v>
      </c>
      <c r="B5" t="s">
        <v>231</v>
      </c>
      <c r="D5" t="s">
        <v>235</v>
      </c>
      <c r="E5" t="s">
        <v>236</v>
      </c>
      <c r="F5" t="s">
        <v>234</v>
      </c>
      <c r="H5" s="26" t="s">
        <v>229</v>
      </c>
      <c r="I5" t="s">
        <v>32</v>
      </c>
      <c r="J5" t="s">
        <v>237</v>
      </c>
    </row>
    <row r="6" spans="1:10" x14ac:dyDescent="0.45">
      <c r="A6" t="s">
        <v>207</v>
      </c>
      <c r="B6" t="s">
        <v>203</v>
      </c>
      <c r="D6" t="s">
        <v>204</v>
      </c>
      <c r="E6" t="s">
        <v>205</v>
      </c>
      <c r="J6" t="s">
        <v>207</v>
      </c>
    </row>
    <row r="7" spans="1:10" x14ac:dyDescent="0.45">
      <c r="A7" t="s">
        <v>207</v>
      </c>
      <c r="B7" t="s">
        <v>203</v>
      </c>
      <c r="E7" t="s">
        <v>206</v>
      </c>
    </row>
    <row r="8" spans="1:10" x14ac:dyDescent="0.45">
      <c r="A8" t="s">
        <v>207</v>
      </c>
      <c r="B8" t="s">
        <v>208</v>
      </c>
      <c r="D8" t="s">
        <v>209</v>
      </c>
      <c r="E8" t="s">
        <v>210</v>
      </c>
      <c r="J8">
        <v>4</v>
      </c>
    </row>
    <row r="9" spans="1:10" x14ac:dyDescent="0.45">
      <c r="A9" t="s">
        <v>207</v>
      </c>
      <c r="B9" t="s">
        <v>208</v>
      </c>
      <c r="D9" t="s">
        <v>211</v>
      </c>
      <c r="E9" t="s">
        <v>212</v>
      </c>
      <c r="F9" t="s">
        <v>202</v>
      </c>
      <c r="J9">
        <v>40</v>
      </c>
    </row>
    <row r="10" spans="1:10" x14ac:dyDescent="0.45">
      <c r="A10" t="s">
        <v>207</v>
      </c>
      <c r="B10" t="s">
        <v>208</v>
      </c>
      <c r="D10" t="s">
        <v>213</v>
      </c>
      <c r="E10" t="s">
        <v>214</v>
      </c>
      <c r="F10" t="s">
        <v>215</v>
      </c>
      <c r="G10" s="26" t="s">
        <v>217</v>
      </c>
      <c r="H10" s="26" t="s">
        <v>218</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EAD2E-0A20-4528-8365-FD2F05195C50}">
  <sheetPr codeName="Sheet5"/>
  <dimension ref="A1:C18"/>
  <sheetViews>
    <sheetView workbookViewId="0">
      <selection activeCell="H18" sqref="H18"/>
    </sheetView>
  </sheetViews>
  <sheetFormatPr defaultRowHeight="14.25" x14ac:dyDescent="0.45"/>
  <cols>
    <col min="1" max="1" width="15.19921875" customWidth="1"/>
    <col min="2" max="2" width="28.86328125" customWidth="1"/>
    <col min="3" max="3" width="11.33203125" customWidth="1"/>
  </cols>
  <sheetData>
    <row r="1" spans="1:3" x14ac:dyDescent="0.45">
      <c r="A1" t="s">
        <v>182</v>
      </c>
      <c r="B1" t="s">
        <v>9</v>
      </c>
      <c r="C1" t="s">
        <v>181</v>
      </c>
    </row>
    <row r="2" spans="1:3" x14ac:dyDescent="0.45">
      <c r="A2" t="s">
        <v>314</v>
      </c>
      <c r="B2" t="s">
        <v>313</v>
      </c>
      <c r="C2" t="b">
        <v>1</v>
      </c>
    </row>
    <row r="3" spans="1:3" x14ac:dyDescent="0.45">
      <c r="A3" t="s">
        <v>314</v>
      </c>
      <c r="B3" t="s">
        <v>315</v>
      </c>
      <c r="C3" t="b">
        <v>1</v>
      </c>
    </row>
    <row r="4" spans="1:3" x14ac:dyDescent="0.45">
      <c r="A4" t="s">
        <v>314</v>
      </c>
      <c r="B4" t="s">
        <v>316</v>
      </c>
      <c r="C4" t="b">
        <v>1</v>
      </c>
    </row>
    <row r="5" spans="1:3" x14ac:dyDescent="0.45">
      <c r="A5" t="s">
        <v>314</v>
      </c>
      <c r="B5" t="s">
        <v>317</v>
      </c>
      <c r="C5" t="b">
        <v>1</v>
      </c>
    </row>
    <row r="6" spans="1:3" x14ac:dyDescent="0.45">
      <c r="A6" t="s">
        <v>314</v>
      </c>
      <c r="B6" t="s">
        <v>318</v>
      </c>
      <c r="C6" t="b">
        <v>1</v>
      </c>
    </row>
    <row r="7" spans="1:3" x14ac:dyDescent="0.45">
      <c r="A7" t="s">
        <v>314</v>
      </c>
      <c r="B7" t="s">
        <v>319</v>
      </c>
      <c r="C7" t="b">
        <v>1</v>
      </c>
    </row>
    <row r="8" spans="1:3" x14ac:dyDescent="0.45">
      <c r="A8" t="s">
        <v>314</v>
      </c>
      <c r="B8" t="s">
        <v>320</v>
      </c>
      <c r="C8" t="b">
        <v>1</v>
      </c>
    </row>
    <row r="9" spans="1:3" x14ac:dyDescent="0.45">
      <c r="A9" t="s">
        <v>314</v>
      </c>
      <c r="B9" t="s">
        <v>321</v>
      </c>
      <c r="C9" t="b">
        <v>1</v>
      </c>
    </row>
    <row r="10" spans="1:3" x14ac:dyDescent="0.45">
      <c r="A10" t="s">
        <v>314</v>
      </c>
      <c r="B10" t="s">
        <v>322</v>
      </c>
      <c r="C10" t="b">
        <v>1</v>
      </c>
    </row>
    <row r="11" spans="1:3" x14ac:dyDescent="0.45">
      <c r="A11" t="s">
        <v>314</v>
      </c>
      <c r="B11" t="s">
        <v>323</v>
      </c>
      <c r="C11" t="b">
        <v>1</v>
      </c>
    </row>
    <row r="12" spans="1:3" x14ac:dyDescent="0.45">
      <c r="A12" t="s">
        <v>314</v>
      </c>
      <c r="B12" t="s">
        <v>324</v>
      </c>
      <c r="C12" t="b">
        <v>1</v>
      </c>
    </row>
    <row r="13" spans="1:3" x14ac:dyDescent="0.45">
      <c r="A13" t="s">
        <v>314</v>
      </c>
      <c r="B13" t="s">
        <v>325</v>
      </c>
      <c r="C13" t="b">
        <v>1</v>
      </c>
    </row>
    <row r="14" spans="1:3" x14ac:dyDescent="0.45">
      <c r="A14" t="s">
        <v>314</v>
      </c>
      <c r="B14" t="s">
        <v>326</v>
      </c>
      <c r="C14" t="b">
        <v>1</v>
      </c>
    </row>
    <row r="15" spans="1:3" x14ac:dyDescent="0.45">
      <c r="A15" t="s">
        <v>314</v>
      </c>
      <c r="B15" t="s">
        <v>327</v>
      </c>
      <c r="C15" t="b">
        <v>1</v>
      </c>
    </row>
    <row r="16" spans="1:3" x14ac:dyDescent="0.45">
      <c r="A16" t="s">
        <v>314</v>
      </c>
      <c r="B16" t="s">
        <v>328</v>
      </c>
      <c r="C16" t="b">
        <v>1</v>
      </c>
    </row>
    <row r="17" spans="1:3" x14ac:dyDescent="0.45">
      <c r="A17" t="s">
        <v>314</v>
      </c>
      <c r="B17" t="s">
        <v>329</v>
      </c>
      <c r="C17" t="b">
        <v>1</v>
      </c>
    </row>
    <row r="18" spans="1:3" x14ac:dyDescent="0.45">
      <c r="A18" t="s">
        <v>314</v>
      </c>
      <c r="B18" t="s">
        <v>330</v>
      </c>
      <c r="C18" t="b">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7A8F1-71C8-4CB7-BBFD-3878FDCE45F9}">
  <sheetPr codeName="Sheet14"/>
  <dimension ref="A1:C13"/>
  <sheetViews>
    <sheetView workbookViewId="0">
      <selection activeCell="A14" sqref="A14:XFD14"/>
    </sheetView>
  </sheetViews>
  <sheetFormatPr defaultRowHeight="14.25" x14ac:dyDescent="0.45"/>
  <cols>
    <col min="1" max="1" width="15.3984375" customWidth="1"/>
    <col min="2" max="2" width="28.59765625" customWidth="1"/>
    <col min="3" max="3" width="11.33203125" customWidth="1"/>
  </cols>
  <sheetData>
    <row r="1" spans="1:3" x14ac:dyDescent="0.45">
      <c r="A1" t="s">
        <v>182</v>
      </c>
      <c r="B1" t="s">
        <v>9</v>
      </c>
      <c r="C1" t="s">
        <v>181</v>
      </c>
    </row>
    <row r="2" spans="1:3" x14ac:dyDescent="0.45">
      <c r="A2" t="s">
        <v>354</v>
      </c>
      <c r="B2" t="s">
        <v>353</v>
      </c>
    </row>
    <row r="3" spans="1:3" x14ac:dyDescent="0.45">
      <c r="A3" t="s">
        <v>354</v>
      </c>
      <c r="B3" t="s">
        <v>355</v>
      </c>
    </row>
    <row r="4" spans="1:3" x14ac:dyDescent="0.45">
      <c r="A4" t="s">
        <v>354</v>
      </c>
      <c r="B4" t="s">
        <v>368</v>
      </c>
    </row>
    <row r="5" spans="1:3" x14ac:dyDescent="0.45">
      <c r="A5" t="s">
        <v>354</v>
      </c>
      <c r="B5" t="s">
        <v>369</v>
      </c>
    </row>
    <row r="6" spans="1:3" x14ac:dyDescent="0.45">
      <c r="A6" t="s">
        <v>354</v>
      </c>
      <c r="B6" t="s">
        <v>356</v>
      </c>
    </row>
    <row r="7" spans="1:3" x14ac:dyDescent="0.45">
      <c r="A7" t="s">
        <v>354</v>
      </c>
      <c r="B7" t="s">
        <v>357</v>
      </c>
    </row>
    <row r="8" spans="1:3" x14ac:dyDescent="0.45">
      <c r="A8" t="s">
        <v>354</v>
      </c>
      <c r="B8" t="s">
        <v>358</v>
      </c>
    </row>
    <row r="9" spans="1:3" x14ac:dyDescent="0.45">
      <c r="A9" t="s">
        <v>354</v>
      </c>
      <c r="B9" t="s">
        <v>359</v>
      </c>
    </row>
    <row r="10" spans="1:3" x14ac:dyDescent="0.45">
      <c r="A10" t="s">
        <v>354</v>
      </c>
      <c r="B10" t="s">
        <v>360</v>
      </c>
    </row>
    <row r="11" spans="1:3" x14ac:dyDescent="0.45">
      <c r="A11" t="s">
        <v>354</v>
      </c>
      <c r="B11" t="s">
        <v>361</v>
      </c>
    </row>
    <row r="12" spans="1:3" x14ac:dyDescent="0.45">
      <c r="A12" t="s">
        <v>354</v>
      </c>
      <c r="B12" t="s">
        <v>362</v>
      </c>
    </row>
    <row r="13" spans="1:3" x14ac:dyDescent="0.45">
      <c r="A13" t="s">
        <v>354</v>
      </c>
      <c r="B13" t="s">
        <v>363</v>
      </c>
      <c r="C13"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0B356-FE62-4BAE-ACA6-D4ADEEB448F1}">
  <sheetPr codeName="Sheet6">
    <tabColor theme="5" tint="-0.249977111117893"/>
  </sheetPr>
  <dimension ref="A1:C34"/>
  <sheetViews>
    <sheetView workbookViewId="0">
      <selection activeCell="H18" sqref="H18"/>
    </sheetView>
  </sheetViews>
  <sheetFormatPr defaultRowHeight="14.25" x14ac:dyDescent="0.45"/>
  <cols>
    <col min="1" max="1" width="22" customWidth="1"/>
    <col min="2" max="2" width="27.796875" customWidth="1"/>
    <col min="3" max="3" width="11.33203125" customWidth="1"/>
  </cols>
  <sheetData>
    <row r="1" spans="1:3" x14ac:dyDescent="0.45">
      <c r="A1" t="s">
        <v>182</v>
      </c>
      <c r="B1" t="s">
        <v>9</v>
      </c>
      <c r="C1" t="s">
        <v>181</v>
      </c>
    </row>
    <row r="2" spans="1:3" x14ac:dyDescent="0.45">
      <c r="A2" t="s">
        <v>198</v>
      </c>
      <c r="B2" t="s">
        <v>29</v>
      </c>
      <c r="C2" t="b">
        <v>1</v>
      </c>
    </row>
    <row r="3" spans="1:3" x14ac:dyDescent="0.45">
      <c r="A3" t="s">
        <v>198</v>
      </c>
      <c r="B3" t="s">
        <v>144</v>
      </c>
      <c r="C3" t="b">
        <v>1</v>
      </c>
    </row>
    <row r="4" spans="1:3" x14ac:dyDescent="0.45">
      <c r="A4" t="s">
        <v>198</v>
      </c>
      <c r="B4" t="s">
        <v>219</v>
      </c>
      <c r="C4" t="b">
        <v>1</v>
      </c>
    </row>
    <row r="5" spans="1:3" x14ac:dyDescent="0.45">
      <c r="A5" t="s">
        <v>198</v>
      </c>
      <c r="B5" t="s">
        <v>220</v>
      </c>
      <c r="C5" t="b">
        <v>1</v>
      </c>
    </row>
    <row r="6" spans="1:3" x14ac:dyDescent="0.45">
      <c r="A6" t="s">
        <v>198</v>
      </c>
      <c r="B6" t="s">
        <v>221</v>
      </c>
      <c r="C6" t="b">
        <v>1</v>
      </c>
    </row>
    <row r="7" spans="1:3" x14ac:dyDescent="0.45">
      <c r="A7" t="s">
        <v>198</v>
      </c>
      <c r="B7" t="s">
        <v>222</v>
      </c>
      <c r="C7" t="b">
        <v>1</v>
      </c>
    </row>
    <row r="8" spans="1:3" x14ac:dyDescent="0.45">
      <c r="A8" t="s">
        <v>198</v>
      </c>
      <c r="B8" t="s">
        <v>223</v>
      </c>
      <c r="C8" t="b">
        <v>1</v>
      </c>
    </row>
    <row r="9" spans="1:3" x14ac:dyDescent="0.45">
      <c r="A9" t="s">
        <v>198</v>
      </c>
      <c r="B9" t="s">
        <v>224</v>
      </c>
      <c r="C9" t="b">
        <v>1</v>
      </c>
    </row>
    <row r="10" spans="1:3" x14ac:dyDescent="0.45">
      <c r="A10" t="s">
        <v>198</v>
      </c>
      <c r="B10" t="s">
        <v>225</v>
      </c>
      <c r="C10" t="b">
        <v>1</v>
      </c>
    </row>
    <row r="11" spans="1:3" x14ac:dyDescent="0.45">
      <c r="A11" t="s">
        <v>198</v>
      </c>
      <c r="B11" t="s">
        <v>226</v>
      </c>
      <c r="C11" t="b">
        <v>1</v>
      </c>
    </row>
    <row r="12" spans="1:3" x14ac:dyDescent="0.45">
      <c r="A12" t="s">
        <v>198</v>
      </c>
      <c r="B12" t="s">
        <v>54</v>
      </c>
      <c r="C12" t="b">
        <v>1</v>
      </c>
    </row>
    <row r="13" spans="1:3" x14ac:dyDescent="0.45">
      <c r="A13" t="s">
        <v>199</v>
      </c>
      <c r="B13" t="s">
        <v>56</v>
      </c>
      <c r="C13" t="b">
        <v>1</v>
      </c>
    </row>
    <row r="14" spans="1:3" x14ac:dyDescent="0.45">
      <c r="A14" t="s">
        <v>199</v>
      </c>
      <c r="B14" t="s">
        <v>57</v>
      </c>
      <c r="C14" t="b">
        <v>1</v>
      </c>
    </row>
    <row r="15" spans="1:3" x14ac:dyDescent="0.45">
      <c r="A15" t="s">
        <v>200</v>
      </c>
      <c r="B15" t="s">
        <v>13</v>
      </c>
      <c r="C15" t="b">
        <v>1</v>
      </c>
    </row>
    <row r="16" spans="1:3" x14ac:dyDescent="0.45">
      <c r="A16" t="s">
        <v>200</v>
      </c>
      <c r="B16" t="s">
        <v>14</v>
      </c>
      <c r="C16" t="b">
        <v>1</v>
      </c>
    </row>
    <row r="17" spans="1:3" x14ac:dyDescent="0.45">
      <c r="A17" t="s">
        <v>200</v>
      </c>
      <c r="B17" t="s">
        <v>15</v>
      </c>
      <c r="C17" t="b">
        <v>1</v>
      </c>
    </row>
    <row r="18" spans="1:3" x14ac:dyDescent="0.45">
      <c r="A18" t="s">
        <v>200</v>
      </c>
      <c r="B18" t="s">
        <v>156</v>
      </c>
      <c r="C18" t="b">
        <v>1</v>
      </c>
    </row>
    <row r="19" spans="1:3" x14ac:dyDescent="0.45">
      <c r="A19" t="s">
        <v>200</v>
      </c>
      <c r="B19" t="s">
        <v>16</v>
      </c>
      <c r="C19" t="b">
        <v>1</v>
      </c>
    </row>
    <row r="20" spans="1:3" x14ac:dyDescent="0.45">
      <c r="A20" t="s">
        <v>200</v>
      </c>
      <c r="B20" t="s">
        <v>157</v>
      </c>
      <c r="C20" t="b">
        <v>1</v>
      </c>
    </row>
    <row r="21" spans="1:3" x14ac:dyDescent="0.45">
      <c r="A21" t="s">
        <v>200</v>
      </c>
      <c r="B21" t="s">
        <v>19</v>
      </c>
      <c r="C21" t="b">
        <v>1</v>
      </c>
    </row>
    <row r="22" spans="1:3" x14ac:dyDescent="0.45">
      <c r="A22" t="s">
        <v>200</v>
      </c>
      <c r="B22" t="s">
        <v>20</v>
      </c>
      <c r="C22" t="b">
        <v>1</v>
      </c>
    </row>
    <row r="23" spans="1:3" x14ac:dyDescent="0.45">
      <c r="A23" t="s">
        <v>200</v>
      </c>
      <c r="B23" t="s">
        <v>21</v>
      </c>
      <c r="C23" t="b">
        <v>1</v>
      </c>
    </row>
    <row r="24" spans="1:3" x14ac:dyDescent="0.45">
      <c r="A24" t="s">
        <v>200</v>
      </c>
      <c r="B24" t="s">
        <v>149</v>
      </c>
      <c r="C24" t="b">
        <v>1</v>
      </c>
    </row>
    <row r="25" spans="1:3" x14ac:dyDescent="0.45">
      <c r="A25" t="s">
        <v>198</v>
      </c>
      <c r="B25" t="s">
        <v>30</v>
      </c>
      <c r="C25" t="b">
        <v>1</v>
      </c>
    </row>
    <row r="26" spans="1:3" x14ac:dyDescent="0.45">
      <c r="A26" t="s">
        <v>200</v>
      </c>
      <c r="B26" t="s">
        <v>44</v>
      </c>
      <c r="C26" t="b">
        <v>1</v>
      </c>
    </row>
    <row r="27" spans="1:3" x14ac:dyDescent="0.45">
      <c r="A27" t="s">
        <v>200</v>
      </c>
      <c r="B27" t="s">
        <v>158</v>
      </c>
      <c r="C27" t="b">
        <v>1</v>
      </c>
    </row>
    <row r="28" spans="1:3" x14ac:dyDescent="0.45">
      <c r="A28" t="s">
        <v>200</v>
      </c>
      <c r="B28" t="s">
        <v>145</v>
      </c>
      <c r="C28" t="b">
        <v>1</v>
      </c>
    </row>
    <row r="29" spans="1:3" x14ac:dyDescent="0.45">
      <c r="A29" t="s">
        <v>200</v>
      </c>
      <c r="B29" t="s">
        <v>159</v>
      </c>
      <c r="C29" t="b">
        <v>1</v>
      </c>
    </row>
    <row r="30" spans="1:3" x14ac:dyDescent="0.45">
      <c r="A30" t="s">
        <v>200</v>
      </c>
      <c r="B30" t="s">
        <v>45</v>
      </c>
      <c r="C30" t="b">
        <v>1</v>
      </c>
    </row>
    <row r="31" spans="1:3" x14ac:dyDescent="0.45">
      <c r="A31" t="s">
        <v>201</v>
      </c>
      <c r="B31" t="s">
        <v>120</v>
      </c>
      <c r="C31" t="b">
        <v>1</v>
      </c>
    </row>
    <row r="32" spans="1:3" x14ac:dyDescent="0.45">
      <c r="A32" t="s">
        <v>201</v>
      </c>
      <c r="B32" t="s">
        <v>160</v>
      </c>
      <c r="C32" t="b">
        <v>1</v>
      </c>
    </row>
    <row r="33" spans="1:3" x14ac:dyDescent="0.45">
      <c r="A33" t="s">
        <v>201</v>
      </c>
      <c r="B33" t="s">
        <v>125</v>
      </c>
      <c r="C33" t="b">
        <v>1</v>
      </c>
    </row>
    <row r="34" spans="1:3" x14ac:dyDescent="0.45">
      <c r="A34" t="s">
        <v>201</v>
      </c>
      <c r="B34" t="s">
        <v>161</v>
      </c>
      <c r="C34"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FE34E-BF81-4AFD-ADDE-739900F9CDFE}">
  <sheetPr codeName="Sheet32"/>
  <dimension ref="A1:C49"/>
  <sheetViews>
    <sheetView topLeftCell="A30" workbookViewId="0">
      <selection activeCell="H18" sqref="H18"/>
    </sheetView>
  </sheetViews>
  <sheetFormatPr defaultRowHeight="14.25" x14ac:dyDescent="0.45"/>
  <cols>
    <col min="1" max="1" width="28" customWidth="1"/>
    <col min="2" max="2" width="31.53125" customWidth="1"/>
    <col min="3" max="3" width="11.33203125" customWidth="1"/>
  </cols>
  <sheetData>
    <row r="1" spans="1:3" x14ac:dyDescent="0.45">
      <c r="A1" t="s">
        <v>182</v>
      </c>
      <c r="B1" t="s">
        <v>9</v>
      </c>
      <c r="C1" t="s">
        <v>181</v>
      </c>
    </row>
    <row r="2" spans="1:3" x14ac:dyDescent="0.45">
      <c r="A2" t="s">
        <v>260</v>
      </c>
      <c r="B2" t="s">
        <v>259</v>
      </c>
      <c r="C2" t="b">
        <v>1</v>
      </c>
    </row>
    <row r="3" spans="1:3" x14ac:dyDescent="0.45">
      <c r="A3" t="s">
        <v>260</v>
      </c>
      <c r="B3" t="s">
        <v>261</v>
      </c>
      <c r="C3" t="b">
        <v>1</v>
      </c>
    </row>
    <row r="4" spans="1:3" x14ac:dyDescent="0.45">
      <c r="A4" t="s">
        <v>260</v>
      </c>
      <c r="B4" t="s">
        <v>262</v>
      </c>
      <c r="C4" t="b">
        <v>1</v>
      </c>
    </row>
    <row r="5" spans="1:3" x14ac:dyDescent="0.45">
      <c r="A5" t="s">
        <v>260</v>
      </c>
      <c r="B5" t="s">
        <v>263</v>
      </c>
      <c r="C5" t="b">
        <v>1</v>
      </c>
    </row>
    <row r="6" spans="1:3" x14ac:dyDescent="0.45">
      <c r="A6" t="s">
        <v>260</v>
      </c>
      <c r="B6" t="s">
        <v>264</v>
      </c>
      <c r="C6" t="b">
        <v>1</v>
      </c>
    </row>
    <row r="7" spans="1:3" x14ac:dyDescent="0.45">
      <c r="A7" t="s">
        <v>260</v>
      </c>
      <c r="B7" t="s">
        <v>265</v>
      </c>
      <c r="C7" t="b">
        <v>1</v>
      </c>
    </row>
    <row r="8" spans="1:3" x14ac:dyDescent="0.45">
      <c r="A8" t="s">
        <v>260</v>
      </c>
      <c r="B8" t="s">
        <v>266</v>
      </c>
      <c r="C8" t="b">
        <v>1</v>
      </c>
    </row>
    <row r="9" spans="1:3" x14ac:dyDescent="0.45">
      <c r="A9" t="s">
        <v>260</v>
      </c>
      <c r="B9" t="s">
        <v>267</v>
      </c>
      <c r="C9" t="b">
        <v>1</v>
      </c>
    </row>
    <row r="10" spans="1:3" x14ac:dyDescent="0.45">
      <c r="A10" t="s">
        <v>260</v>
      </c>
      <c r="B10" t="s">
        <v>268</v>
      </c>
      <c r="C10" s="10" t="b">
        <v>0</v>
      </c>
    </row>
    <row r="11" spans="1:3" x14ac:dyDescent="0.45">
      <c r="A11" t="s">
        <v>270</v>
      </c>
      <c r="B11" t="s">
        <v>269</v>
      </c>
      <c r="C11" t="b">
        <v>1</v>
      </c>
    </row>
    <row r="12" spans="1:3" x14ac:dyDescent="0.45">
      <c r="A12" t="s">
        <v>270</v>
      </c>
      <c r="B12" t="s">
        <v>271</v>
      </c>
      <c r="C12" t="b">
        <v>1</v>
      </c>
    </row>
    <row r="13" spans="1:3" x14ac:dyDescent="0.45">
      <c r="A13" t="s">
        <v>270</v>
      </c>
      <c r="B13" t="s">
        <v>272</v>
      </c>
      <c r="C13" t="b">
        <v>1</v>
      </c>
    </row>
    <row r="14" spans="1:3" x14ac:dyDescent="0.45">
      <c r="A14" t="s">
        <v>270</v>
      </c>
      <c r="B14" t="s">
        <v>273</v>
      </c>
      <c r="C14" t="b">
        <v>1</v>
      </c>
    </row>
    <row r="15" spans="1:3" x14ac:dyDescent="0.45">
      <c r="A15" t="s">
        <v>270</v>
      </c>
      <c r="B15" t="s">
        <v>274</v>
      </c>
      <c r="C15" t="b">
        <v>1</v>
      </c>
    </row>
    <row r="16" spans="1:3" x14ac:dyDescent="0.45">
      <c r="A16" t="s">
        <v>270</v>
      </c>
      <c r="B16" t="s">
        <v>275</v>
      </c>
      <c r="C16" t="b">
        <v>1</v>
      </c>
    </row>
    <row r="17" spans="1:3" x14ac:dyDescent="0.45">
      <c r="A17" t="s">
        <v>270</v>
      </c>
      <c r="B17" t="s">
        <v>276</v>
      </c>
      <c r="C17" t="b">
        <v>1</v>
      </c>
    </row>
    <row r="18" spans="1:3" x14ac:dyDescent="0.45">
      <c r="A18" t="s">
        <v>270</v>
      </c>
      <c r="B18" t="s">
        <v>277</v>
      </c>
      <c r="C18" t="b">
        <v>1</v>
      </c>
    </row>
    <row r="19" spans="1:3" x14ac:dyDescent="0.45">
      <c r="A19" t="s">
        <v>270</v>
      </c>
      <c r="B19" t="s">
        <v>278</v>
      </c>
      <c r="C19" t="b">
        <v>1</v>
      </c>
    </row>
    <row r="20" spans="1:3" x14ac:dyDescent="0.45">
      <c r="A20" t="s">
        <v>270</v>
      </c>
      <c r="B20" t="s">
        <v>279</v>
      </c>
      <c r="C20" t="b">
        <v>1</v>
      </c>
    </row>
    <row r="21" spans="1:3" x14ac:dyDescent="0.45">
      <c r="A21" t="s">
        <v>270</v>
      </c>
      <c r="B21" t="s">
        <v>280</v>
      </c>
      <c r="C21" t="b">
        <v>1</v>
      </c>
    </row>
    <row r="22" spans="1:3" x14ac:dyDescent="0.45">
      <c r="A22" t="s">
        <v>270</v>
      </c>
      <c r="B22" t="s">
        <v>281</v>
      </c>
      <c r="C22" t="b">
        <v>1</v>
      </c>
    </row>
    <row r="23" spans="1:3" x14ac:dyDescent="0.45">
      <c r="A23" t="s">
        <v>270</v>
      </c>
      <c r="B23" t="s">
        <v>282</v>
      </c>
      <c r="C23" t="b">
        <v>1</v>
      </c>
    </row>
    <row r="24" spans="1:3" x14ac:dyDescent="0.45">
      <c r="A24" t="s">
        <v>270</v>
      </c>
      <c r="B24" t="s">
        <v>283</v>
      </c>
      <c r="C24" t="b">
        <v>1</v>
      </c>
    </row>
    <row r="25" spans="1:3" x14ac:dyDescent="0.45">
      <c r="A25" t="s">
        <v>270</v>
      </c>
      <c r="B25" t="s">
        <v>284</v>
      </c>
      <c r="C25" t="b">
        <v>1</v>
      </c>
    </row>
    <row r="26" spans="1:3" x14ac:dyDescent="0.45">
      <c r="A26" t="s">
        <v>270</v>
      </c>
      <c r="B26" t="s">
        <v>285</v>
      </c>
      <c r="C26" t="b">
        <v>1</v>
      </c>
    </row>
    <row r="27" spans="1:3" x14ac:dyDescent="0.45">
      <c r="A27" t="s">
        <v>270</v>
      </c>
      <c r="B27" t="s">
        <v>286</v>
      </c>
      <c r="C27" t="b">
        <v>1</v>
      </c>
    </row>
    <row r="28" spans="1:3" x14ac:dyDescent="0.45">
      <c r="A28" t="s">
        <v>270</v>
      </c>
      <c r="B28" t="s">
        <v>287</v>
      </c>
      <c r="C28" t="b">
        <v>1</v>
      </c>
    </row>
    <row r="29" spans="1:3" x14ac:dyDescent="0.45">
      <c r="A29" t="s">
        <v>270</v>
      </c>
      <c r="B29" t="s">
        <v>288</v>
      </c>
      <c r="C29" t="b">
        <v>1</v>
      </c>
    </row>
    <row r="30" spans="1:3" x14ac:dyDescent="0.45">
      <c r="A30" t="s">
        <v>270</v>
      </c>
      <c r="B30" t="s">
        <v>289</v>
      </c>
      <c r="C30" t="b">
        <v>1</v>
      </c>
    </row>
    <row r="31" spans="1:3" x14ac:dyDescent="0.45">
      <c r="A31" t="s">
        <v>270</v>
      </c>
      <c r="B31" t="s">
        <v>290</v>
      </c>
      <c r="C31" t="b">
        <v>1</v>
      </c>
    </row>
    <row r="32" spans="1:3" x14ac:dyDescent="0.45">
      <c r="A32" t="s">
        <v>292</v>
      </c>
      <c r="B32" t="s">
        <v>291</v>
      </c>
      <c r="C32" t="b">
        <v>1</v>
      </c>
    </row>
    <row r="33" spans="1:3" x14ac:dyDescent="0.45">
      <c r="A33" t="s">
        <v>292</v>
      </c>
      <c r="B33" t="s">
        <v>293</v>
      </c>
      <c r="C33" t="b">
        <v>1</v>
      </c>
    </row>
    <row r="34" spans="1:3" x14ac:dyDescent="0.45">
      <c r="A34" t="s">
        <v>292</v>
      </c>
      <c r="B34" t="s">
        <v>294</v>
      </c>
      <c r="C34" t="b">
        <v>1</v>
      </c>
    </row>
    <row r="35" spans="1:3" x14ac:dyDescent="0.45">
      <c r="A35" t="s">
        <v>292</v>
      </c>
      <c r="B35" t="s">
        <v>295</v>
      </c>
      <c r="C35" t="b">
        <v>1</v>
      </c>
    </row>
    <row r="36" spans="1:3" x14ac:dyDescent="0.45">
      <c r="A36" t="s">
        <v>297</v>
      </c>
      <c r="B36" t="s">
        <v>296</v>
      </c>
      <c r="C36" t="b">
        <v>1</v>
      </c>
    </row>
    <row r="37" spans="1:3" x14ac:dyDescent="0.45">
      <c r="A37" t="s">
        <v>297</v>
      </c>
      <c r="B37" t="s">
        <v>298</v>
      </c>
      <c r="C37" t="b">
        <v>1</v>
      </c>
    </row>
    <row r="38" spans="1:3" x14ac:dyDescent="0.45">
      <c r="A38" t="s">
        <v>297</v>
      </c>
      <c r="B38" t="s">
        <v>299</v>
      </c>
      <c r="C38" t="b">
        <v>1</v>
      </c>
    </row>
    <row r="39" spans="1:3" x14ac:dyDescent="0.45">
      <c r="A39" t="s">
        <v>297</v>
      </c>
      <c r="B39" t="s">
        <v>300</v>
      </c>
      <c r="C39" t="b">
        <v>1</v>
      </c>
    </row>
    <row r="40" spans="1:3" x14ac:dyDescent="0.45">
      <c r="A40" t="s">
        <v>297</v>
      </c>
      <c r="B40" t="s">
        <v>301</v>
      </c>
      <c r="C40" t="b">
        <v>1</v>
      </c>
    </row>
    <row r="41" spans="1:3" x14ac:dyDescent="0.45">
      <c r="A41" t="s">
        <v>297</v>
      </c>
      <c r="B41" t="s">
        <v>302</v>
      </c>
      <c r="C41" t="b">
        <v>1</v>
      </c>
    </row>
    <row r="42" spans="1:3" x14ac:dyDescent="0.45">
      <c r="A42" t="s">
        <v>297</v>
      </c>
      <c r="B42" t="s">
        <v>303</v>
      </c>
      <c r="C42" t="b">
        <v>1</v>
      </c>
    </row>
    <row r="43" spans="1:3" x14ac:dyDescent="0.45">
      <c r="A43" t="s">
        <v>305</v>
      </c>
      <c r="B43" t="s">
        <v>304</v>
      </c>
      <c r="C43" t="b">
        <v>1</v>
      </c>
    </row>
    <row r="44" spans="1:3" x14ac:dyDescent="0.45">
      <c r="A44" t="s">
        <v>305</v>
      </c>
      <c r="B44" t="s">
        <v>306</v>
      </c>
      <c r="C44" t="b">
        <v>1</v>
      </c>
    </row>
    <row r="45" spans="1:3" x14ac:dyDescent="0.45">
      <c r="A45" t="s">
        <v>305</v>
      </c>
      <c r="B45" t="s">
        <v>307</v>
      </c>
      <c r="C45" t="b">
        <v>1</v>
      </c>
    </row>
    <row r="46" spans="1:3" x14ac:dyDescent="0.45">
      <c r="A46" t="s">
        <v>309</v>
      </c>
      <c r="B46" t="s">
        <v>308</v>
      </c>
      <c r="C46" t="b">
        <v>1</v>
      </c>
    </row>
    <row r="47" spans="1:3" x14ac:dyDescent="0.45">
      <c r="A47" t="s">
        <v>309</v>
      </c>
      <c r="B47" t="s">
        <v>310</v>
      </c>
      <c r="C47" t="b">
        <v>1</v>
      </c>
    </row>
    <row r="48" spans="1:3" x14ac:dyDescent="0.45">
      <c r="A48" t="s">
        <v>309</v>
      </c>
      <c r="B48" t="s">
        <v>311</v>
      </c>
      <c r="C48" s="10" t="b">
        <v>0</v>
      </c>
    </row>
    <row r="49" spans="1:3" x14ac:dyDescent="0.45">
      <c r="A49" t="s">
        <v>309</v>
      </c>
      <c r="B49" t="s">
        <v>312</v>
      </c>
      <c r="C49" t="b">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0C758-1070-4C4D-917A-733980FBEFEA}">
  <sheetPr codeName="Sheet8">
    <tabColor theme="5" tint="-0.249977111117893"/>
  </sheetPr>
  <dimension ref="A1:C6"/>
  <sheetViews>
    <sheetView workbookViewId="0">
      <selection activeCell="H18" sqref="H18"/>
    </sheetView>
  </sheetViews>
  <sheetFormatPr defaultRowHeight="14.25" x14ac:dyDescent="0.45"/>
  <cols>
    <col min="1" max="1" width="19" customWidth="1"/>
    <col min="2" max="2" width="20.86328125" customWidth="1"/>
    <col min="3" max="3" width="11.33203125" customWidth="1"/>
  </cols>
  <sheetData>
    <row r="1" spans="1:3" x14ac:dyDescent="0.45">
      <c r="A1" t="s">
        <v>182</v>
      </c>
      <c r="B1" t="s">
        <v>9</v>
      </c>
      <c r="C1" t="s">
        <v>181</v>
      </c>
    </row>
    <row r="2" spans="1:3" x14ac:dyDescent="0.45">
      <c r="A2" t="s">
        <v>253</v>
      </c>
      <c r="B2" t="s">
        <v>180</v>
      </c>
      <c r="C2" t="b">
        <v>1</v>
      </c>
    </row>
    <row r="3" spans="1:3" x14ac:dyDescent="0.45">
      <c r="A3" t="s">
        <v>253</v>
      </c>
      <c r="B3" t="s">
        <v>166</v>
      </c>
      <c r="C3" t="b">
        <v>1</v>
      </c>
    </row>
    <row r="4" spans="1:3" x14ac:dyDescent="0.45">
      <c r="A4" t="s">
        <v>253</v>
      </c>
      <c r="B4" t="s">
        <v>254</v>
      </c>
      <c r="C4" t="b">
        <v>1</v>
      </c>
    </row>
    <row r="5" spans="1:3" x14ac:dyDescent="0.45">
      <c r="A5" t="s">
        <v>253</v>
      </c>
      <c r="B5" t="s">
        <v>255</v>
      </c>
      <c r="C5" t="b">
        <v>1</v>
      </c>
    </row>
    <row r="6" spans="1:3" x14ac:dyDescent="0.45">
      <c r="A6" t="s">
        <v>253</v>
      </c>
      <c r="B6" t="s">
        <v>256</v>
      </c>
      <c r="C6" t="b">
        <v>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AA79A-9C0F-4C00-91D1-855E0C00F864}">
  <sheetPr codeName="Sheet2">
    <tabColor theme="5" tint="-0.249977111117893"/>
  </sheetPr>
  <dimension ref="A1:C6"/>
  <sheetViews>
    <sheetView workbookViewId="0">
      <selection activeCell="H18" sqref="H18"/>
    </sheetView>
  </sheetViews>
  <sheetFormatPr defaultRowHeight="14.25" x14ac:dyDescent="0.45"/>
  <cols>
    <col min="1" max="1" width="12.06640625" customWidth="1"/>
    <col min="2" max="2" width="29" customWidth="1"/>
    <col min="3" max="3" width="11.33203125" customWidth="1"/>
  </cols>
  <sheetData>
    <row r="1" spans="1:3" x14ac:dyDescent="0.45">
      <c r="A1" t="s">
        <v>182</v>
      </c>
      <c r="B1" t="s">
        <v>9</v>
      </c>
      <c r="C1" t="s">
        <v>181</v>
      </c>
    </row>
    <row r="2" spans="1:3" x14ac:dyDescent="0.45">
      <c r="A2" t="s">
        <v>248</v>
      </c>
      <c r="B2" t="s">
        <v>247</v>
      </c>
      <c r="C2" t="b">
        <v>1</v>
      </c>
    </row>
    <row r="3" spans="1:3" x14ac:dyDescent="0.45">
      <c r="A3" t="s">
        <v>248</v>
      </c>
      <c r="B3" t="s">
        <v>249</v>
      </c>
      <c r="C3" t="b">
        <v>1</v>
      </c>
    </row>
    <row r="4" spans="1:3" x14ac:dyDescent="0.45">
      <c r="A4" t="s">
        <v>248</v>
      </c>
      <c r="B4" t="s">
        <v>250</v>
      </c>
      <c r="C4" t="b">
        <v>1</v>
      </c>
    </row>
    <row r="5" spans="1:3" x14ac:dyDescent="0.45">
      <c r="A5" t="s">
        <v>248</v>
      </c>
      <c r="B5" t="s">
        <v>251</v>
      </c>
      <c r="C5" t="b">
        <v>1</v>
      </c>
    </row>
    <row r="6" spans="1:3" x14ac:dyDescent="0.45">
      <c r="A6" t="s">
        <v>248</v>
      </c>
      <c r="B6" t="s">
        <v>252</v>
      </c>
      <c r="C6" t="b">
        <v>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2DC35-5234-4494-A141-F56B0A93DF01}">
  <sheetPr codeName="Sheet7">
    <tabColor theme="5" tint="-0.249977111117893"/>
  </sheetPr>
  <dimension ref="A1:C29"/>
  <sheetViews>
    <sheetView workbookViewId="0">
      <selection activeCell="H18" sqref="H18"/>
    </sheetView>
  </sheetViews>
  <sheetFormatPr defaultRowHeight="14.25" x14ac:dyDescent="0.45"/>
  <cols>
    <col min="1" max="1" width="29.265625" customWidth="1"/>
    <col min="2" max="2" width="29.46484375" customWidth="1"/>
    <col min="3" max="3" width="11.33203125" customWidth="1"/>
  </cols>
  <sheetData>
    <row r="1" spans="1:3" x14ac:dyDescent="0.45">
      <c r="A1" t="s">
        <v>182</v>
      </c>
      <c r="B1" t="s">
        <v>9</v>
      </c>
      <c r="C1" t="s">
        <v>181</v>
      </c>
    </row>
    <row r="2" spans="1:3" x14ac:dyDescent="0.45">
      <c r="A2" t="s">
        <v>238</v>
      </c>
      <c r="B2" t="s">
        <v>24</v>
      </c>
    </row>
    <row r="3" spans="1:3" x14ac:dyDescent="0.45">
      <c r="A3" t="s">
        <v>238</v>
      </c>
      <c r="B3" t="s">
        <v>25</v>
      </c>
    </row>
    <row r="4" spans="1:3" x14ac:dyDescent="0.45">
      <c r="A4" t="s">
        <v>238</v>
      </c>
      <c r="B4" t="s">
        <v>26</v>
      </c>
    </row>
    <row r="5" spans="1:3" x14ac:dyDescent="0.45">
      <c r="A5" t="s">
        <v>238</v>
      </c>
      <c r="B5" t="s">
        <v>27</v>
      </c>
    </row>
    <row r="6" spans="1:3" x14ac:dyDescent="0.45">
      <c r="A6" t="s">
        <v>238</v>
      </c>
      <c r="B6" t="s">
        <v>216</v>
      </c>
    </row>
    <row r="7" spans="1:3" x14ac:dyDescent="0.45">
      <c r="A7" t="s">
        <v>238</v>
      </c>
      <c r="B7" t="s">
        <v>22</v>
      </c>
    </row>
    <row r="8" spans="1:3" x14ac:dyDescent="0.45">
      <c r="A8" t="s">
        <v>238</v>
      </c>
      <c r="B8" t="s">
        <v>23</v>
      </c>
    </row>
    <row r="9" spans="1:3" x14ac:dyDescent="0.45">
      <c r="A9" t="s">
        <v>238</v>
      </c>
      <c r="B9" t="s">
        <v>28</v>
      </c>
    </row>
    <row r="10" spans="1:3" x14ac:dyDescent="0.45">
      <c r="A10" t="s">
        <v>238</v>
      </c>
      <c r="B10" t="s">
        <v>55</v>
      </c>
    </row>
    <row r="11" spans="1:3" x14ac:dyDescent="0.45">
      <c r="A11" t="s">
        <v>238</v>
      </c>
      <c r="B11" t="s">
        <v>107</v>
      </c>
    </row>
    <row r="12" spans="1:3" x14ac:dyDescent="0.45">
      <c r="A12" t="s">
        <v>238</v>
      </c>
      <c r="B12" t="s">
        <v>108</v>
      </c>
    </row>
    <row r="13" spans="1:3" x14ac:dyDescent="0.45">
      <c r="A13" t="s">
        <v>238</v>
      </c>
      <c r="B13" t="s">
        <v>109</v>
      </c>
    </row>
    <row r="14" spans="1:3" x14ac:dyDescent="0.45">
      <c r="A14" t="s">
        <v>238</v>
      </c>
      <c r="B14" t="s">
        <v>110</v>
      </c>
    </row>
    <row r="15" spans="1:3" x14ac:dyDescent="0.45">
      <c r="A15" t="s">
        <v>238</v>
      </c>
      <c r="B15" t="s">
        <v>111</v>
      </c>
    </row>
    <row r="16" spans="1:3" x14ac:dyDescent="0.45">
      <c r="A16" t="s">
        <v>238</v>
      </c>
      <c r="B16" t="s">
        <v>112</v>
      </c>
    </row>
    <row r="17" spans="1:3" x14ac:dyDescent="0.45">
      <c r="A17" t="s">
        <v>238</v>
      </c>
      <c r="B17" t="s">
        <v>116</v>
      </c>
    </row>
    <row r="18" spans="1:3" x14ac:dyDescent="0.45">
      <c r="A18" t="s">
        <v>238</v>
      </c>
      <c r="B18" t="s">
        <v>162</v>
      </c>
    </row>
    <row r="19" spans="1:3" x14ac:dyDescent="0.45">
      <c r="A19" t="s">
        <v>240</v>
      </c>
      <c r="B19" t="s">
        <v>239</v>
      </c>
      <c r="C19" t="b">
        <v>1</v>
      </c>
    </row>
    <row r="20" spans="1:3" x14ac:dyDescent="0.45">
      <c r="A20" t="s">
        <v>240</v>
      </c>
      <c r="B20" t="s">
        <v>241</v>
      </c>
      <c r="C20" t="b">
        <v>1</v>
      </c>
    </row>
    <row r="21" spans="1:3" x14ac:dyDescent="0.45">
      <c r="A21" t="s">
        <v>240</v>
      </c>
      <c r="B21" t="s">
        <v>242</v>
      </c>
      <c r="C21" t="b">
        <v>1</v>
      </c>
    </row>
    <row r="22" spans="1:3" x14ac:dyDescent="0.45">
      <c r="A22" t="s">
        <v>240</v>
      </c>
      <c r="B22" t="s">
        <v>243</v>
      </c>
      <c r="C22" t="b">
        <v>1</v>
      </c>
    </row>
    <row r="23" spans="1:3" x14ac:dyDescent="0.45">
      <c r="A23" t="s">
        <v>240</v>
      </c>
      <c r="B23" t="s">
        <v>244</v>
      </c>
      <c r="C23" t="b">
        <v>1</v>
      </c>
    </row>
    <row r="24" spans="1:3" x14ac:dyDescent="0.45">
      <c r="A24" t="s">
        <v>240</v>
      </c>
      <c r="B24" t="s">
        <v>245</v>
      </c>
      <c r="C24" t="b">
        <v>1</v>
      </c>
    </row>
    <row r="25" spans="1:3" x14ac:dyDescent="0.45">
      <c r="A25" t="s">
        <v>240</v>
      </c>
      <c r="B25" t="s">
        <v>246</v>
      </c>
      <c r="C25" t="b">
        <v>1</v>
      </c>
    </row>
    <row r="26" spans="1:3" x14ac:dyDescent="0.45">
      <c r="A26" t="s">
        <v>238</v>
      </c>
      <c r="B26" t="s">
        <v>364</v>
      </c>
      <c r="C26" t="b">
        <v>1</v>
      </c>
    </row>
    <row r="27" spans="1:3" x14ac:dyDescent="0.45">
      <c r="A27" t="s">
        <v>238</v>
      </c>
      <c r="B27" t="s">
        <v>365</v>
      </c>
      <c r="C27" t="b">
        <v>1</v>
      </c>
    </row>
    <row r="28" spans="1:3" x14ac:dyDescent="0.45">
      <c r="A28" t="s">
        <v>238</v>
      </c>
      <c r="B28" t="s">
        <v>366</v>
      </c>
      <c r="C28" t="b">
        <v>1</v>
      </c>
    </row>
    <row r="29" spans="1:3" x14ac:dyDescent="0.45">
      <c r="A29" t="s">
        <v>238</v>
      </c>
      <c r="B29" t="s">
        <v>367</v>
      </c>
      <c r="C29" t="b">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H18" sqref="H18"/>
    </sheetView>
  </sheetViews>
  <sheetFormatPr defaultColWidth="8.796875" defaultRowHeight="14.25" x14ac:dyDescent="0.45"/>
  <cols>
    <col min="1" max="1" width="31.92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s="19" t="s">
        <v>53</v>
      </c>
      <c r="B2" t="b">
        <v>1</v>
      </c>
      <c r="C2" t="b">
        <v>1</v>
      </c>
      <c r="D2" t="b">
        <v>1</v>
      </c>
    </row>
    <row r="3" spans="1:4" x14ac:dyDescent="0.45">
      <c r="A3" s="19" t="s">
        <v>139</v>
      </c>
      <c r="B3" t="b">
        <v>1</v>
      </c>
      <c r="C3" t="b">
        <v>1</v>
      </c>
      <c r="D3" t="b">
        <v>1</v>
      </c>
    </row>
    <row r="4" spans="1:4" x14ac:dyDescent="0.45">
      <c r="A4" s="19" t="s">
        <v>153</v>
      </c>
      <c r="B4" t="b">
        <v>1</v>
      </c>
      <c r="C4" t="b">
        <v>1</v>
      </c>
      <c r="D4" t="b">
        <v>1</v>
      </c>
    </row>
    <row r="5" spans="1:4" x14ac:dyDescent="0.45">
      <c r="A5" s="17" t="s">
        <v>167</v>
      </c>
      <c r="B5" t="b">
        <v>1</v>
      </c>
    </row>
    <row r="6" spans="1:4" x14ac:dyDescent="0.45">
      <c r="A6" s="17" t="s">
        <v>155</v>
      </c>
      <c r="B6" t="b">
        <v>1</v>
      </c>
    </row>
    <row r="7" spans="1:4" x14ac:dyDescent="0.45">
      <c r="A7" s="17" t="s">
        <v>178</v>
      </c>
      <c r="B7" t="b">
        <v>1</v>
      </c>
    </row>
    <row r="8" spans="1:4" x14ac:dyDescent="0.45">
      <c r="A8" s="17" t="s">
        <v>179</v>
      </c>
      <c r="B8" t="b">
        <v>1</v>
      </c>
    </row>
    <row r="9" spans="1:4" x14ac:dyDescent="0.45">
      <c r="A9" s="17" t="s">
        <v>163</v>
      </c>
      <c r="B9" t="b">
        <v>1</v>
      </c>
    </row>
    <row r="10" spans="1:4" x14ac:dyDescent="0.45">
      <c r="A10" s="18" t="s">
        <v>170</v>
      </c>
      <c r="B10" t="b">
        <v>1</v>
      </c>
    </row>
    <row r="11" spans="1:4" x14ac:dyDescent="0.45">
      <c r="A11" s="18" t="s">
        <v>164</v>
      </c>
      <c r="B11" t="b">
        <v>1</v>
      </c>
    </row>
    <row r="12" spans="1:4" x14ac:dyDescent="0.45">
      <c r="A12" s="18" t="s">
        <v>165</v>
      </c>
      <c r="B12" t="b">
        <v>1</v>
      </c>
    </row>
    <row r="13" spans="1:4" x14ac:dyDescent="0.45">
      <c r="A13" s="18" t="s">
        <v>168</v>
      </c>
      <c r="B13" t="b">
        <v>1</v>
      </c>
    </row>
    <row r="14" spans="1:4" x14ac:dyDescent="0.45">
      <c r="A14" s="18" t="s">
        <v>169</v>
      </c>
      <c r="B14" t="b">
        <v>1</v>
      </c>
    </row>
    <row r="15" spans="1:4" x14ac:dyDescent="0.45">
      <c r="A15" s="16" t="s">
        <v>154</v>
      </c>
      <c r="B15" t="b">
        <v>1</v>
      </c>
    </row>
    <row r="16" spans="1:4" x14ac:dyDescent="0.45">
      <c r="A16" s="16" t="s">
        <v>171</v>
      </c>
      <c r="B16" t="b">
        <v>1</v>
      </c>
    </row>
    <row r="17" spans="1:2" x14ac:dyDescent="0.45">
      <c r="A17" s="16" t="s">
        <v>172</v>
      </c>
      <c r="B17" t="b">
        <v>1</v>
      </c>
    </row>
    <row r="18" spans="1:2" x14ac:dyDescent="0.45">
      <c r="A18" s="16" t="s">
        <v>173</v>
      </c>
      <c r="B18" t="b">
        <v>1</v>
      </c>
    </row>
    <row r="19" spans="1:2" x14ac:dyDescent="0.45">
      <c r="A19" s="16" t="s">
        <v>174</v>
      </c>
      <c r="B19" t="b">
        <v>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ColWidth="8.796875" defaultRowHeight="14.25" x14ac:dyDescent="0.45"/>
  <cols>
    <col min="1" max="1" width="29.66406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ColWidth="8.796875" defaultRowHeight="14.25" x14ac:dyDescent="0.45"/>
  <cols>
    <col min="4" max="4" width="20.33203125" bestFit="1" customWidth="1"/>
    <col min="5" max="5" width="13" bestFit="1" customWidth="1"/>
    <col min="6" max="6" width="1.6640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53702C-726F-41EC-AFE3-F525AADAF084}">
  <sheetPr codeName="Sheet15"/>
  <dimension ref="A1:C9"/>
  <sheetViews>
    <sheetView workbookViewId="0">
      <selection activeCell="A16" sqref="A16"/>
    </sheetView>
  </sheetViews>
  <sheetFormatPr defaultRowHeight="14.25" x14ac:dyDescent="0.45"/>
  <cols>
    <col min="1" max="1" width="10.73046875" customWidth="1"/>
    <col min="2" max="2" width="31.265625" customWidth="1"/>
    <col min="3" max="3" width="11.33203125" customWidth="1"/>
  </cols>
  <sheetData>
    <row r="1" spans="1:3" x14ac:dyDescent="0.45">
      <c r="A1" t="s">
        <v>182</v>
      </c>
      <c r="B1" t="s">
        <v>9</v>
      </c>
      <c r="C1" t="s">
        <v>181</v>
      </c>
    </row>
    <row r="2" spans="1:3" x14ac:dyDescent="0.45">
      <c r="A2" t="s">
        <v>380</v>
      </c>
      <c r="B2" t="s">
        <v>180</v>
      </c>
    </row>
    <row r="3" spans="1:3" x14ac:dyDescent="0.45">
      <c r="A3" t="s">
        <v>382</v>
      </c>
      <c r="B3" t="s">
        <v>381</v>
      </c>
      <c r="C3" t="b">
        <v>1</v>
      </c>
    </row>
    <row r="4" spans="1:3" x14ac:dyDescent="0.45">
      <c r="A4" t="s">
        <v>382</v>
      </c>
      <c r="B4" t="s">
        <v>383</v>
      </c>
      <c r="C4" t="b">
        <v>1</v>
      </c>
    </row>
    <row r="5" spans="1:3" x14ac:dyDescent="0.45">
      <c r="A5" t="s">
        <v>382</v>
      </c>
      <c r="B5" t="s">
        <v>384</v>
      </c>
      <c r="C5" t="b">
        <v>1</v>
      </c>
    </row>
    <row r="6" spans="1:3" x14ac:dyDescent="0.45">
      <c r="A6" t="s">
        <v>382</v>
      </c>
      <c r="B6" t="s">
        <v>385</v>
      </c>
      <c r="C6" t="b">
        <v>1</v>
      </c>
    </row>
    <row r="7" spans="1:3" x14ac:dyDescent="0.45">
      <c r="A7" t="s">
        <v>382</v>
      </c>
      <c r="B7" t="s">
        <v>386</v>
      </c>
      <c r="C7" t="b">
        <v>1</v>
      </c>
    </row>
    <row r="8" spans="1:3" x14ac:dyDescent="0.45">
      <c r="A8" t="s">
        <v>382</v>
      </c>
      <c r="B8" t="s">
        <v>409</v>
      </c>
      <c r="C8" t="b">
        <v>1</v>
      </c>
    </row>
    <row r="9" spans="1:3" x14ac:dyDescent="0.45">
      <c r="A9" t="s">
        <v>382</v>
      </c>
      <c r="B9" t="s">
        <v>410</v>
      </c>
      <c r="C9" t="b">
        <v>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B2"/>
  <sheetViews>
    <sheetView workbookViewId="0">
      <selection activeCell="H18" sqref="H18"/>
    </sheetView>
  </sheetViews>
  <sheetFormatPr defaultColWidth="8.796875" defaultRowHeight="14.25" x14ac:dyDescent="0.45"/>
  <cols>
    <col min="1" max="2" width="22.46484375" customWidth="1"/>
  </cols>
  <sheetData>
    <row r="1" spans="1:2" x14ac:dyDescent="0.45">
      <c r="A1" t="s">
        <v>50</v>
      </c>
      <c r="B1" t="s">
        <v>51</v>
      </c>
    </row>
    <row r="2" spans="1:2" x14ac:dyDescent="0.45">
      <c r="A2" t="s">
        <v>142</v>
      </c>
      <c r="B2" t="s">
        <v>143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ColWidth="8.796875" defaultRowHeight="14.25" x14ac:dyDescent="0.45"/>
  <cols>
    <col min="1" max="1" width="11.13281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149</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B71A1-9801-42C7-AE32-81CFE7C1E2D0}">
  <sheetPr codeName="Sheet12"/>
  <dimension ref="A1:C6"/>
  <sheetViews>
    <sheetView workbookViewId="0"/>
  </sheetViews>
  <sheetFormatPr defaultRowHeight="14.25" x14ac:dyDescent="0.45"/>
  <cols>
    <col min="1" max="1" width="22.3984375" customWidth="1"/>
    <col min="2" max="2" width="33.46484375" customWidth="1"/>
    <col min="3" max="3" width="11.33203125" customWidth="1"/>
  </cols>
  <sheetData>
    <row r="1" spans="1:3" x14ac:dyDescent="0.45">
      <c r="A1" t="s">
        <v>182</v>
      </c>
      <c r="B1" t="s">
        <v>9</v>
      </c>
      <c r="C1" t="s">
        <v>181</v>
      </c>
    </row>
    <row r="2" spans="1:3" x14ac:dyDescent="0.45">
      <c r="A2" t="s">
        <v>332</v>
      </c>
      <c r="B2" t="s">
        <v>331</v>
      </c>
      <c r="C2" t="b">
        <v>1</v>
      </c>
    </row>
    <row r="3" spans="1:3" x14ac:dyDescent="0.45">
      <c r="A3" t="s">
        <v>347</v>
      </c>
      <c r="B3" t="s">
        <v>346</v>
      </c>
      <c r="C3" t="b">
        <v>1</v>
      </c>
    </row>
    <row r="4" spans="1:3" x14ac:dyDescent="0.45">
      <c r="A4" t="s">
        <v>347</v>
      </c>
      <c r="B4" t="s">
        <v>348</v>
      </c>
      <c r="C4" t="b">
        <v>1</v>
      </c>
    </row>
    <row r="5" spans="1:3" x14ac:dyDescent="0.45">
      <c r="A5" t="s">
        <v>347</v>
      </c>
      <c r="B5" t="s">
        <v>349</v>
      </c>
      <c r="C5" t="b">
        <v>1</v>
      </c>
    </row>
    <row r="6" spans="1:3" x14ac:dyDescent="0.45">
      <c r="A6" t="s">
        <v>347</v>
      </c>
      <c r="B6" t="s">
        <v>350</v>
      </c>
      <c r="C6" t="b">
        <v>1</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00B10-6D78-401F-B804-5B7774C3D03C}">
  <sheetPr codeName="Sheet13"/>
  <dimension ref="A1:F5"/>
  <sheetViews>
    <sheetView workbookViewId="0"/>
  </sheetViews>
  <sheetFormatPr defaultRowHeight="14.25" x14ac:dyDescent="0.45"/>
  <sheetData>
    <row r="1" spans="1:6" x14ac:dyDescent="0.45">
      <c r="A1" t="s">
        <v>333</v>
      </c>
      <c r="B1" t="s">
        <v>334</v>
      </c>
      <c r="C1" t="s">
        <v>335</v>
      </c>
      <c r="D1" t="s">
        <v>336</v>
      </c>
      <c r="E1" t="s">
        <v>337</v>
      </c>
      <c r="F1" t="s">
        <v>338</v>
      </c>
    </row>
    <row r="2" spans="1:6" x14ac:dyDescent="0.45">
      <c r="A2">
        <v>100</v>
      </c>
      <c r="B2" t="s">
        <v>117</v>
      </c>
      <c r="C2" t="s">
        <v>339</v>
      </c>
      <c r="D2" t="s">
        <v>340</v>
      </c>
      <c r="E2" t="b">
        <v>0</v>
      </c>
      <c r="F2" t="s">
        <v>341</v>
      </c>
    </row>
    <row r="3" spans="1:6" x14ac:dyDescent="0.45">
      <c r="A3">
        <v>101</v>
      </c>
      <c r="B3" t="s">
        <v>117</v>
      </c>
      <c r="C3" t="s">
        <v>339</v>
      </c>
      <c r="D3" t="s">
        <v>342</v>
      </c>
      <c r="E3" t="b">
        <v>1</v>
      </c>
      <c r="F3" t="s">
        <v>341</v>
      </c>
    </row>
    <row r="4" spans="1:6" x14ac:dyDescent="0.45">
      <c r="A4">
        <v>102</v>
      </c>
      <c r="B4" t="s">
        <v>117</v>
      </c>
      <c r="C4" t="s">
        <v>339</v>
      </c>
      <c r="D4" t="s">
        <v>343</v>
      </c>
      <c r="E4" t="b">
        <v>0</v>
      </c>
      <c r="F4" t="s">
        <v>341</v>
      </c>
    </row>
    <row r="5" spans="1:6" x14ac:dyDescent="0.45">
      <c r="A5">
        <v>201</v>
      </c>
      <c r="B5" t="s">
        <v>117</v>
      </c>
      <c r="C5" t="s">
        <v>344</v>
      </c>
      <c r="E5" t="s">
        <v>345</v>
      </c>
      <c r="F5" t="s">
        <v>341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19</vt:i4>
      </vt:variant>
    </vt:vector>
  </HeadingPairs>
  <TitlesOfParts>
    <vt:vector size="40" baseType="lpstr">
      <vt:lpstr>Descriptions</vt:lpstr>
      <vt:lpstr>XLStepsSettings</vt:lpstr>
      <vt:lpstr>SMdl</vt:lpstr>
      <vt:lpstr>PivotOut</vt:lpstr>
      <vt:lpstr>Tests_mdl</vt:lpstr>
      <vt:lpstr>ExcelSteps</vt:lpstr>
      <vt:lpstr>TblImport</vt:lpstr>
      <vt:lpstr>Tests_Dictionary</vt:lpstr>
      <vt:lpstr>Tests_PivotTable</vt:lpstr>
      <vt:lpstr>tests_mdlScenario</vt:lpstr>
      <vt:lpstr>tblRowsCols</vt:lpstr>
      <vt:lpstr>tests_mdlImportRow</vt:lpstr>
      <vt:lpstr>tests_ParseModel</vt:lpstr>
      <vt:lpstr>tests_Utilities</vt:lpstr>
      <vt:lpstr>Tests_SwapModels</vt:lpstr>
      <vt:lpstr>Utilities</vt:lpstr>
      <vt:lpstr>ToolBox</vt:lpstr>
      <vt:lpstr>Settings_</vt:lpstr>
      <vt:lpstr>Tests</vt:lpstr>
      <vt:lpstr>Tests_ErrorHandling</vt:lpstr>
      <vt:lpstr>Errors_</vt:lpstr>
      <vt:lpstr>AfterEndorRenameColumn</vt:lpstr>
      <vt:lpstr>Column</vt:lpstr>
      <vt:lpstr>Comment</vt:lpstr>
      <vt:lpstr>Custom</vt:lpstr>
      <vt:lpstr>Custom_Data_1</vt:lpstr>
      <vt:lpstr>Custom_Data_2</vt:lpstr>
      <vt:lpstr>Custom_Data_3</vt:lpstr>
      <vt:lpstr>Custom_Data_4</vt:lpstr>
      <vt:lpstr>Custom_DataValues</vt:lpstr>
      <vt:lpstr>Custom_Desc</vt:lpstr>
      <vt:lpstr>Custom_Desc2</vt:lpstr>
      <vt:lpstr>Custom_Desc3</vt:lpstr>
      <vt:lpstr>Custom_Header</vt:lpstr>
      <vt:lpstr>Formula_ListName_Sort_by</vt:lpstr>
      <vt:lpstr>KeepFormulas</vt:lpstr>
      <vt:lpstr>NumberFormat</vt:lpstr>
      <vt:lpstr>Sheet</vt:lpstr>
      <vt:lpstr>Step</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2026-05-07T17:25:55Z</dcterms:modified>
</cp:coreProperties>
</file>